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mployee Data" sheetId="1" state="visible" r:id="rId3"/>
    <sheet name="Lists" sheetId="2" state="visible" r:id="rId4"/>
    <sheet name="SI Cod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<sst xmlns="http://schemas.openxmlformats.org/spreadsheetml/2006/main" count="3394" uniqueCount="3216">
  <si>
    <t xml:space="preserve">No.</t>
  </si>
  <si>
    <t xml:space="preserve">Code</t>
  </si>
  <si>
    <t xml:space="preserve">Status</t>
  </si>
  <si>
    <t xml:space="preserve">Employee Name in English</t>
  </si>
  <si>
    <t xml:space="preserve">Employee Name in Arabic</t>
  </si>
  <si>
    <t xml:space="preserve">Job title in Arabic</t>
  </si>
  <si>
    <t xml:space="preserve">Job title in English</t>
  </si>
  <si>
    <t xml:space="preserve">SI Job Code</t>
  </si>
  <si>
    <t xml:space="preserve">Social Insurance Title</t>
  </si>
  <si>
    <t xml:space="preserve">Department</t>
  </si>
  <si>
    <t xml:space="preserve">Sector</t>
  </si>
  <si>
    <t xml:space="preserve">Site</t>
  </si>
  <si>
    <t xml:space="preserve">Weekly Days off</t>
  </si>
  <si>
    <t xml:space="preserve">Meal
Allowance</t>
  </si>
  <si>
    <t xml:space="preserve">Overtime</t>
  </si>
  <si>
    <t xml:space="preserve">Bus Route</t>
  </si>
  <si>
    <t xml:space="preserve">Hiring Date</t>
  </si>
  <si>
    <t xml:space="preserve">Work Period</t>
  </si>
  <si>
    <t xml:space="preserve">Mobile No.</t>
  </si>
  <si>
    <t xml:space="preserve">Sec. Mobile No.</t>
  </si>
  <si>
    <t xml:space="preserve">SI No.</t>
  </si>
  <si>
    <t xml:space="preserve">SI Status</t>
  </si>
  <si>
    <t xml:space="preserve">SI Basic Wage</t>
  </si>
  <si>
    <t xml:space="preserve">SI Gross Wage</t>
  </si>
  <si>
    <t xml:space="preserve">Med. Insurance</t>
  </si>
  <si>
    <t xml:space="preserve">ID No.</t>
  </si>
  <si>
    <t xml:space="preserve">Date
Of Birth</t>
  </si>
  <si>
    <t xml:space="preserve">Age</t>
  </si>
  <si>
    <t xml:space="preserve">ID
Issuing Date</t>
  </si>
  <si>
    <t xml:space="preserve">ID
Exp. Date</t>
  </si>
  <si>
    <t xml:space="preserve">Gender</t>
  </si>
  <si>
    <t xml:space="preserve">Military
Service</t>
  </si>
  <si>
    <t xml:space="preserve">Marital
Status</t>
  </si>
  <si>
    <t xml:space="preserve">Religion</t>
  </si>
  <si>
    <t xml:space="preserve">Qualification Degree</t>
  </si>
  <si>
    <t xml:space="preserve">Original
Graduation Certificate</t>
  </si>
  <si>
    <t xml:space="preserve">Original
Military Certificate</t>
  </si>
  <si>
    <t xml:space="preserve">Original
Birth Certificate</t>
  </si>
  <si>
    <t xml:space="preserve">Finger
Print Record</t>
  </si>
  <si>
    <t xml:space="preserve">ID Copy</t>
  </si>
  <si>
    <t xml:space="preserve">6 Personal Photos</t>
  </si>
  <si>
    <t xml:space="preserve">Medical Form
No. 111</t>
  </si>
  <si>
    <t xml:space="preserve">SI Record</t>
  </si>
  <si>
    <t xml:space="preserve">Copy
SI Form 1</t>
  </si>
  <si>
    <t xml:space="preserve">Copy
SI Form 6</t>
  </si>
  <si>
    <t xml:space="preserve">Contract</t>
  </si>
  <si>
    <t xml:space="preserve">File Status</t>
  </si>
  <si>
    <t xml:space="preserve">Comments</t>
  </si>
  <si>
    <t xml:space="preserve">Notice
Date</t>
  </si>
  <si>
    <t xml:space="preserve">Resignation
Date</t>
  </si>
  <si>
    <t xml:space="preserve">Resignation Reason</t>
  </si>
  <si>
    <t xml:space="preserve">On-Board</t>
  </si>
  <si>
    <t xml:space="preserve">Ahmed Moustafa Mohamed</t>
  </si>
  <si>
    <t xml:space="preserve">احمد مصطفى محمد حسن</t>
  </si>
  <si>
    <t xml:space="preserve">العضو المنتدب</t>
  </si>
  <si>
    <t xml:space="preserve">CEO</t>
  </si>
  <si>
    <t xml:space="preserve">Factory 1</t>
  </si>
  <si>
    <t xml:space="preserve">Saturdays and Fridays</t>
  </si>
  <si>
    <t xml:space="preserve">No</t>
  </si>
  <si>
    <t xml:space="preserve">Yes</t>
  </si>
  <si>
    <t xml:space="preserve">Male</t>
  </si>
  <si>
    <t xml:space="preserve">Served</t>
  </si>
  <si>
    <t xml:space="preserve">Married</t>
  </si>
  <si>
    <t xml:space="preserve">Muslim</t>
  </si>
  <si>
    <t xml:space="preserve">بكالوريوس هندسة</t>
  </si>
  <si>
    <t xml:space="preserve">Islam Said Elsayed</t>
  </si>
  <si>
    <t xml:space="preserve">اسلام سعيد السيد اسماعيل </t>
  </si>
  <si>
    <t xml:space="preserve">مدير ادارة الابحاث والتطوير</t>
  </si>
  <si>
    <t xml:space="preserve">R&amp;D Manager</t>
  </si>
  <si>
    <t xml:space="preserve">Tendering</t>
  </si>
  <si>
    <t xml:space="preserve">Single</t>
  </si>
  <si>
    <t xml:space="preserve">Ahmed Adel Ahmed</t>
  </si>
  <si>
    <t xml:space="preserve">احمد عادل عبدالعزيز طه</t>
  </si>
  <si>
    <t xml:space="preserve">اخصائي موارد بشرية</t>
  </si>
  <si>
    <t xml:space="preserve">HR Specialist</t>
  </si>
  <si>
    <t xml:space="preserve">HR</t>
  </si>
  <si>
    <t xml:space="preserve">ليسانس اداب</t>
  </si>
  <si>
    <t xml:space="preserve">Doaa Ramadan Mohamed</t>
  </si>
  <si>
    <t xml:space="preserve">دعاء رمضان محمد احمد</t>
  </si>
  <si>
    <t xml:space="preserve">مدير المشتريات</t>
  </si>
  <si>
    <t xml:space="preserve">Supply Chain Manager</t>
  </si>
  <si>
    <t xml:space="preserve">Foreign Purchasing</t>
  </si>
  <si>
    <t xml:space="preserve">Female</t>
  </si>
  <si>
    <t xml:space="preserve">Naama Ebrahim Ahmed</t>
  </si>
  <si>
    <t xml:space="preserve">نعمة ابراهيم احمد</t>
  </si>
  <si>
    <t xml:space="preserve">عاملة بوفيه</t>
  </si>
  <si>
    <t xml:space="preserve">Office Girl</t>
  </si>
  <si>
    <t xml:space="preserve">Buffet</t>
  </si>
  <si>
    <t xml:space="preserve">دبلوم تجارة</t>
  </si>
  <si>
    <t xml:space="preserve">Karim Magdy Attia</t>
  </si>
  <si>
    <t xml:space="preserve">كريم مجدي عطية </t>
  </si>
  <si>
    <t xml:space="preserve">مشرف أمن </t>
  </si>
  <si>
    <t xml:space="preserve">Security Supervisor</t>
  </si>
  <si>
    <t xml:space="preserve">Security</t>
  </si>
  <si>
    <t xml:space="preserve">Fridays Only</t>
  </si>
  <si>
    <t xml:space="preserve">بكالوريوس خدمة اجتماعية</t>
  </si>
  <si>
    <t xml:space="preserve">Antabah Lesha Fahmy</t>
  </si>
  <si>
    <t xml:space="preserve">انتباه ليشع فهمي </t>
  </si>
  <si>
    <t xml:space="preserve">عاملة خدمات </t>
  </si>
  <si>
    <t xml:space="preserve">Clean Service</t>
  </si>
  <si>
    <t xml:space="preserve">Service</t>
  </si>
  <si>
    <t xml:space="preserve">Christian</t>
  </si>
  <si>
    <t xml:space="preserve">بدون مؤهل</t>
  </si>
  <si>
    <t xml:space="preserve">Nesma Abo Elkhier</t>
  </si>
  <si>
    <t xml:space="preserve">نسمة ابو الخير علواني</t>
  </si>
  <si>
    <t xml:space="preserve">مدير الجودة</t>
  </si>
  <si>
    <t xml:space="preserve">Quality Manager</t>
  </si>
  <si>
    <t xml:space="preserve">Quality</t>
  </si>
  <si>
    <t xml:space="preserve">Duha Elsayed Ali</t>
  </si>
  <si>
    <t xml:space="preserve">ضحى السيد علي السيد</t>
  </si>
  <si>
    <t xml:space="preserve">محاسب عام</t>
  </si>
  <si>
    <t xml:space="preserve">Financial Specialist</t>
  </si>
  <si>
    <t xml:space="preserve">Finance</t>
  </si>
  <si>
    <t xml:space="preserve">بكالوريوس تجارة</t>
  </si>
  <si>
    <t xml:space="preserve">Mahmoud Sayed Ebrahim</t>
  </si>
  <si>
    <t xml:space="preserve">محمود سيد ابراهيم</t>
  </si>
  <si>
    <t xml:space="preserve">فني صيانة</t>
  </si>
  <si>
    <t xml:space="preserve">Maintanance Technicion</t>
  </si>
  <si>
    <t xml:space="preserve">Maintenance</t>
  </si>
  <si>
    <t xml:space="preserve">دبلوم صناعة</t>
  </si>
  <si>
    <t xml:space="preserve">Abdalla Nabil</t>
  </si>
  <si>
    <t xml:space="preserve">عبدالله نبيل فضل</t>
  </si>
  <si>
    <t xml:space="preserve">فني انتاج</t>
  </si>
  <si>
    <t xml:space="preserve">Production Operator</t>
  </si>
  <si>
    <t xml:space="preserve">Production</t>
  </si>
  <si>
    <t xml:space="preserve">دبلوم فني</t>
  </si>
  <si>
    <t xml:space="preserve">Abdelrahman Esam</t>
  </si>
  <si>
    <t xml:space="preserve">عبدالرحمن عصام لطفي</t>
  </si>
  <si>
    <t xml:space="preserve">مهندس تكنولوجيا معلومات</t>
  </si>
  <si>
    <t xml:space="preserve">IT Engineer</t>
  </si>
  <si>
    <t xml:space="preserve">Engineering</t>
  </si>
  <si>
    <t xml:space="preserve">ثانوية عامة</t>
  </si>
  <si>
    <t xml:space="preserve">Ahmed Youssef</t>
  </si>
  <si>
    <t xml:space="preserve">احمد يوسف عبدالعظيم</t>
  </si>
  <si>
    <t xml:space="preserve">فني انتاج </t>
  </si>
  <si>
    <t xml:space="preserve">دبلوم زراعة</t>
  </si>
  <si>
    <t xml:space="preserve">Ahmed Bheg</t>
  </si>
  <si>
    <t xml:space="preserve">احمد بهيج رشدي</t>
  </si>
  <si>
    <t xml:space="preserve">عامل خدمات</t>
  </si>
  <si>
    <t xml:space="preserve">Abdelrahman Abdo</t>
  </si>
  <si>
    <t xml:space="preserve">عبدالرحمن عبده رمضان</t>
  </si>
  <si>
    <t xml:space="preserve">مندوب</t>
  </si>
  <si>
    <t xml:space="preserve">Representative</t>
  </si>
  <si>
    <t xml:space="preserve">Local Purchasing</t>
  </si>
  <si>
    <t xml:space="preserve">WorkingStatus</t>
  </si>
  <si>
    <t xml:space="preserve">WeeklyDaysOff</t>
  </si>
  <si>
    <t xml:space="preserve">BusRoute</t>
  </si>
  <si>
    <t xml:space="preserve">MilitaryService</t>
  </si>
  <si>
    <t xml:space="preserve">Admin</t>
  </si>
  <si>
    <t xml:space="preserve">October</t>
  </si>
  <si>
    <t xml:space="preserve">Postponed</t>
  </si>
  <si>
    <t xml:space="preserve">GM</t>
  </si>
  <si>
    <t xml:space="preserve">Notice Period</t>
  </si>
  <si>
    <t xml:space="preserve">Giza</t>
  </si>
  <si>
    <t xml:space="preserve">Exempted</t>
  </si>
  <si>
    <t xml:space="preserve">Operations</t>
  </si>
  <si>
    <t xml:space="preserve">Resigned</t>
  </si>
  <si>
    <t xml:space="preserve">Factory 2</t>
  </si>
  <si>
    <t xml:space="preserve">Cairo</t>
  </si>
  <si>
    <t xml:space="preserve">Absent</t>
  </si>
  <si>
    <t xml:space="preserve">Court Case</t>
  </si>
  <si>
    <t xml:space="preserve">Dead</t>
  </si>
  <si>
    <t xml:space="preserve">R&amp;D</t>
  </si>
  <si>
    <t xml:space="preserve">Validation</t>
  </si>
  <si>
    <t xml:space="preserve">Collection</t>
  </si>
  <si>
    <t xml:space="preserve">Warehouse</t>
  </si>
  <si>
    <t xml:space="preserve">Supply Chain</t>
  </si>
  <si>
    <t xml:space="preserve">Sales</t>
  </si>
  <si>
    <t xml:space="preserve">Legal Affairs</t>
  </si>
  <si>
    <t xml:space="preserve">HR and Admin</t>
  </si>
  <si>
    <t xml:space="preserve">Fleet</t>
  </si>
  <si>
    <t xml:space="preserve">Public Affairs</t>
  </si>
  <si>
    <t xml:space="preserve">Job Code</t>
  </si>
  <si>
    <t xml:space="preserve">Title</t>
  </si>
  <si>
    <t xml:space="preserve">دكتور كيميائى</t>
  </si>
  <si>
    <t xml:space="preserve">كيميائي عام</t>
  </si>
  <si>
    <t xml:space="preserve">كيميائي متخصص  في الكيمياء العضويه</t>
  </si>
  <si>
    <t xml:space="preserve">كيميائي متخصص  في كمياء غير عضويه</t>
  </si>
  <si>
    <t xml:space="preserve">كميائي متخصص  في كمياء طبيعيه</t>
  </si>
  <si>
    <t xml:space="preserve">كميائي متخصص  في التحاليل</t>
  </si>
  <si>
    <t xml:space="preserve">الكميائيون الخرون</t>
  </si>
  <si>
    <t xml:space="preserve">جيوفيزيقى</t>
  </si>
  <si>
    <t xml:space="preserve">فيزيائي عام</t>
  </si>
  <si>
    <t xml:space="preserve">فيزيائي متخصص  في الميكانيكا</t>
  </si>
  <si>
    <t xml:space="preserve">فيزيائي متخصص  في الحراره</t>
  </si>
  <si>
    <t xml:space="preserve">فيزيائي متخصص  في الضوء</t>
  </si>
  <si>
    <t xml:space="preserve">فيزيائي متخصص  في الصوت</t>
  </si>
  <si>
    <t xml:space="preserve">فيزيائي متخصص  في المغناطسيه</t>
  </si>
  <si>
    <t xml:space="preserve">فيزيائي متخصص  في الكترونيات</t>
  </si>
  <si>
    <t xml:space="preserve">فيزيائي متخصص  في الذره</t>
  </si>
  <si>
    <r>
      <rPr>
        <sz val="11"/>
        <color theme="1"/>
        <rFont val="Lohit Devanagari"/>
        <family val="2"/>
      </rPr>
      <t xml:space="preserve">الفيزيائيون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</si>
  <si>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اخصائي في الفيزياء الرضيه</t>
  </si>
  <si>
    <t xml:space="preserve">اخصائي في الجيولوجيا</t>
  </si>
  <si>
    <t xml:space="preserve">اخصائي في الرصاد الجويه</t>
  </si>
  <si>
    <t xml:space="preserve">اخصائي في الفلك</t>
  </si>
  <si>
    <t xml:space="preserve">الخصائيون في علوم الطبيعه</t>
  </si>
  <si>
    <t xml:space="preserve">فني كميائي</t>
  </si>
  <si>
    <t xml:space="preserve">فني فيزيائي</t>
  </si>
  <si>
    <t xml:space="preserve">فني جيولوجي</t>
  </si>
  <si>
    <t xml:space="preserve">جيولوجى</t>
  </si>
  <si>
    <t xml:space="preserve">الفنيون في علوم الطبيعه</t>
  </si>
  <si>
    <t xml:space="preserve">مهندس </t>
  </si>
  <si>
    <t xml:space="preserve">مهندس  استشارى</t>
  </si>
  <si>
    <t xml:space="preserve">كبير مهندسـين</t>
  </si>
  <si>
    <t xml:space="preserve">كبير مهندسين صيانة وقائية</t>
  </si>
  <si>
    <t xml:space="preserve">مهندس  معمارى</t>
  </si>
  <si>
    <t xml:space="preserve">مهندس  تخطيط مدن</t>
  </si>
  <si>
    <t xml:space="preserve">مهندس  مدني عام</t>
  </si>
  <si>
    <t xml:space="preserve">مهندس موقع</t>
  </si>
  <si>
    <t xml:space="preserve">مهندس تنفيذى</t>
  </si>
  <si>
    <t xml:space="preserve">مهندس مكتب فنى مدنى</t>
  </si>
  <si>
    <t xml:space="preserve">مهندس  انشاءات</t>
  </si>
  <si>
    <t xml:space="preserve">مهندس  طرق</t>
  </si>
  <si>
    <t xml:space="preserve">مهندس  انشاءات مطارات</t>
  </si>
  <si>
    <t xml:space="preserve">مهندس  انشاءات سكك حديديه</t>
  </si>
  <si>
    <t xml:space="preserve">مهندس  انشاءات كباري</t>
  </si>
  <si>
    <t xml:space="preserve">مهندس  انشاءات صحيه</t>
  </si>
  <si>
    <t xml:space="preserve">مهندس  ري وهيدروليكا</t>
  </si>
  <si>
    <t xml:space="preserve">مهندس  ميكانيكا التربه</t>
  </si>
  <si>
    <t xml:space="preserve">مهندس مرافق</t>
  </si>
  <si>
    <t xml:space="preserve">مهندسون مدنيون اخرون</t>
  </si>
  <si>
    <t xml:space="preserve">مهندس  كهرباء عام</t>
  </si>
  <si>
    <t xml:space="preserve">مهندس  الكتروني عام</t>
  </si>
  <si>
    <t xml:space="preserve">مهندس  توليد قوي كهربائيه</t>
  </si>
  <si>
    <t xml:space="preserve">مهندس  توزيع ونقل القوي الكهربائيه</t>
  </si>
  <si>
    <t xml:space="preserve">مهندس  معدات كهربائيه</t>
  </si>
  <si>
    <t xml:space="preserve">مهندس  اتصالت</t>
  </si>
  <si>
    <r>
      <rPr>
        <sz val="11"/>
        <color theme="1"/>
        <rFont val="Lohit Devanagari"/>
        <family val="2"/>
      </rPr>
      <t xml:space="preserve">مهندس  حاسب الى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كمبيوتر</t>
    </r>
  </si>
  <si>
    <t xml:space="preserve">مهندس  دعم تقنى</t>
  </si>
  <si>
    <t xml:space="preserve">مهندس  دعم فنى</t>
  </si>
  <si>
    <t xml:space="preserve">مهندس  اول برمجيات</t>
  </si>
  <si>
    <r>
      <rPr>
        <sz val="11"/>
        <color theme="1"/>
        <rFont val="Lohit Devanagari"/>
        <family val="2"/>
      </rPr>
      <t xml:space="preserve">مهندس  شبكات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معلومات</t>
    </r>
  </si>
  <si>
    <t xml:space="preserve">مهندس اقمار صناعيه</t>
  </si>
  <si>
    <t xml:space="preserve">مهندسون كهربائيون اخرون</t>
  </si>
  <si>
    <t xml:space="preserve">مهندس  ميكانيكا عام</t>
  </si>
  <si>
    <t xml:space="preserve">مهندس  ميكانيكا قوى</t>
  </si>
  <si>
    <t xml:space="preserve">مهندس  ميكانيكا عدد والت</t>
  </si>
  <si>
    <t xml:space="preserve">مهندس  ميكانيكا ماكينات وموتورات</t>
  </si>
  <si>
    <t xml:space="preserve">مهندس  بحري ماكينات بحريه</t>
  </si>
  <si>
    <t xml:space="preserve">مهندس  بناء سفن</t>
  </si>
  <si>
    <t xml:space="preserve">مهندس  طيران</t>
  </si>
  <si>
    <t xml:space="preserve">مهندس  ميكانيكي مركبات</t>
  </si>
  <si>
    <t xml:space="preserve">مهندس تحكم</t>
  </si>
  <si>
    <t xml:space="preserve">مهندس  ميكانيكي الت الغزل والنسج</t>
  </si>
  <si>
    <t xml:space="preserve">مهندس انتاج</t>
  </si>
  <si>
    <t xml:space="preserve">مهندس  تكييف وتدفئه</t>
  </si>
  <si>
    <t xml:space="preserve">مهندس  ذره</t>
  </si>
  <si>
    <t xml:space="preserve">مهندس  صيانة</t>
  </si>
  <si>
    <t xml:space="preserve">مهندس صيانه الطائرات</t>
  </si>
  <si>
    <t xml:space="preserve">مهندس  جودة</t>
  </si>
  <si>
    <t xml:space="preserve">مهندس اختبارات جودة</t>
  </si>
  <si>
    <t xml:space="preserve">مهندس  مسئول</t>
  </si>
  <si>
    <t xml:space="preserve">مهندس تطوير منتج</t>
  </si>
  <si>
    <t xml:space="preserve">مهندس تدريب فنى</t>
  </si>
  <si>
    <t xml:space="preserve">مهندس سلمة وصحة مهنية</t>
  </si>
  <si>
    <t xml:space="preserve">مهندس  صناعى</t>
  </si>
  <si>
    <t xml:space="preserve">مهندس مبيعات</t>
  </si>
  <si>
    <t xml:space="preserve">مهندس مشتريات</t>
  </si>
  <si>
    <t xml:space="preserve">مهندس  نظم</t>
  </si>
  <si>
    <t xml:space="preserve">مهندسون ميكانيكيون اخرون</t>
  </si>
  <si>
    <t xml:space="preserve">مهندس  كميائي عام</t>
  </si>
  <si>
    <t xml:space="preserve">مهندس  كيميائي بترول</t>
  </si>
  <si>
    <t xml:space="preserve">مهندسون كميائيون اخرون</t>
  </si>
  <si>
    <t xml:space="preserve">مهندس  فلزات استخراجيه</t>
  </si>
  <si>
    <t xml:space="preserve">مهندس  فلزات طبيعيه</t>
  </si>
  <si>
    <t xml:space="preserve">مهندسو الفلزات الخرون</t>
  </si>
  <si>
    <t xml:space="preserve">مهندس افران</t>
  </si>
  <si>
    <t xml:space="preserve">مهندس  تعدين او مناجم عام</t>
  </si>
  <si>
    <t xml:space="preserve">مهندس  مناجم فحم</t>
  </si>
  <si>
    <t xml:space="preserve">مهندس  مناجم معادن</t>
  </si>
  <si>
    <t xml:space="preserve">مهندس صب مستمر</t>
  </si>
  <si>
    <t xml:space="preserve">مهندس  بترول وغاز طبيعي</t>
  </si>
  <si>
    <t xml:space="preserve">مهندسو التعدين الخرون</t>
  </si>
  <si>
    <t xml:space="preserve">مهندس درفلة معادن</t>
  </si>
  <si>
    <t xml:space="preserve">مهندس  كفاءه صناعيه</t>
  </si>
  <si>
    <t xml:space="preserve">مهندس  طرق النتاج الصناعي</t>
  </si>
  <si>
    <t xml:space="preserve">مهندس  دراسه الوقت والحركه</t>
  </si>
  <si>
    <t xml:space="preserve">تكنولوجى رقابة جودة</t>
  </si>
  <si>
    <t xml:space="preserve">تكنولوجى كهرباء</t>
  </si>
  <si>
    <t xml:space="preserve">المهندسون الصناعيون الخرون</t>
  </si>
  <si>
    <t xml:space="preserve">مهندس  صناعه زجاج وخزف</t>
  </si>
  <si>
    <t xml:space="preserve">مهندس  ماكينات زراعيه</t>
  </si>
  <si>
    <t xml:space="preserve">مهندس  اخصائي صناعات الغذيه</t>
  </si>
  <si>
    <t xml:space="preserve">مهندس  تخطيط حركه مرور</t>
  </si>
  <si>
    <t xml:space="preserve">مهندس  امن صناعي</t>
  </si>
  <si>
    <t xml:space="preserve">مهندس  أجهزه طبيه</t>
  </si>
  <si>
    <t xml:space="preserve">مهندس  زراعى</t>
  </si>
  <si>
    <t xml:space="preserve">المهندسون الخرون</t>
  </si>
  <si>
    <t xml:space="preserve">مهندس  ديكور</t>
  </si>
  <si>
    <t xml:space="preserve">مهندس  مصمم ازياء</t>
  </si>
  <si>
    <t xml:space="preserve">مهندس  اخصائي مساحه عامه</t>
  </si>
  <si>
    <t xml:space="preserve">مهندس  اخصائي مساحه ارضيه</t>
  </si>
  <si>
    <t xml:space="preserve">مهندس  اخصائي مساحه مناجم</t>
  </si>
  <si>
    <t xml:space="preserve">مهندس  اخصائي مساحه بحريه</t>
  </si>
  <si>
    <t xml:space="preserve">مهندس  اخصائي مساحه جويه</t>
  </si>
  <si>
    <t xml:space="preserve">الخصائيون الخرون</t>
  </si>
  <si>
    <t xml:space="preserve">اخصائى صيانة</t>
  </si>
  <si>
    <t xml:space="preserve">اخصائى صيانة الت تصوير مستندات</t>
  </si>
  <si>
    <t xml:space="preserve">اخصائى ميكانيكا</t>
  </si>
  <si>
    <t xml:space="preserve">رسام عام</t>
  </si>
  <si>
    <t xml:space="preserve">رسام هندسـى</t>
  </si>
  <si>
    <t xml:space="preserve">رئيس قسم الرسم الهندسى</t>
  </si>
  <si>
    <t xml:space="preserve">رسام ميكانيكي</t>
  </si>
  <si>
    <t xml:space="preserve">رسام كهربائي</t>
  </si>
  <si>
    <r>
      <rPr>
        <sz val="11"/>
        <color theme="1"/>
        <rFont val="Lohit Devanagari"/>
        <family val="2"/>
      </rPr>
      <t xml:space="preserve">رسام انشائي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هندسه مدنيه</t>
    </r>
  </si>
  <si>
    <t xml:space="preserve">رسام معماري</t>
  </si>
  <si>
    <r>
      <rPr>
        <sz val="11"/>
        <color theme="1"/>
        <rFont val="Lohit Devanagari"/>
        <family val="2"/>
      </rPr>
      <t xml:space="preserve">رسام جيولوجي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طبقات الرض </t>
    </r>
  </si>
  <si>
    <t xml:space="preserve">رسام خرائط</t>
  </si>
  <si>
    <r>
      <rPr>
        <sz val="11"/>
        <color theme="1"/>
        <rFont val="Lohit Devanagari"/>
        <family val="2"/>
      </rPr>
      <t xml:space="preserve">رسام نشرات فنيه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كتالوجات</t>
    </r>
  </si>
  <si>
    <t xml:space="preserve">رسام علي الحجر</t>
  </si>
  <si>
    <r>
      <rPr>
        <sz val="11"/>
        <color theme="1"/>
        <rFont val="Lohit Devanagari"/>
        <family val="2"/>
      </rPr>
      <t xml:space="preserve">الرسامون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</si>
  <si>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مساعد مهندس </t>
  </si>
  <si>
    <r>
      <rPr>
        <sz val="11"/>
        <color theme="1"/>
        <rFont val="Lohit Devanagari"/>
        <family val="2"/>
      </rPr>
      <t xml:space="preserve">فني هندسه مدنيه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</si>
  <si>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فني انشاء طرق</t>
  </si>
  <si>
    <t xml:space="preserve">فني حساب مسطحات ومكعبات</t>
  </si>
  <si>
    <r>
      <rPr>
        <sz val="11"/>
        <color theme="1"/>
        <rFont val="Lohit Devanagari"/>
        <family val="2"/>
      </rPr>
      <t xml:space="preserve">فني في المساحه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مساح</t>
    </r>
  </si>
  <si>
    <t xml:space="preserve">فني انشاءات مدنيه</t>
  </si>
  <si>
    <t xml:space="preserve">فنى تشغيل اوناش علوية</t>
  </si>
  <si>
    <t xml:space="preserve">فنى مصاعد</t>
  </si>
  <si>
    <t xml:space="preserve">فني انشاءات معدنيه</t>
  </si>
  <si>
    <t xml:space="preserve">فني ري وصرف</t>
  </si>
  <si>
    <t xml:space="preserve">مندوب طلمبات</t>
  </si>
  <si>
    <t xml:space="preserve">فنى مختبر مياه</t>
  </si>
  <si>
    <t xml:space="preserve">فني مياه جوفيه</t>
  </si>
  <si>
    <t xml:space="preserve">فني اجهزة معالجة مياه</t>
  </si>
  <si>
    <t xml:space="preserve">فني معماري</t>
  </si>
  <si>
    <t xml:space="preserve">مشغل كسارة احجار</t>
  </si>
  <si>
    <t xml:space="preserve">مشرف هندسة مدنيه</t>
  </si>
  <si>
    <t xml:space="preserve">مشرف هندسى</t>
  </si>
  <si>
    <t xml:space="preserve">فنيون في الهندسه المدنيه</t>
  </si>
  <si>
    <t xml:space="preserve">فنـى ميكانيكى</t>
  </si>
  <si>
    <t xml:space="preserve">فنى اول ميكانيكا</t>
  </si>
  <si>
    <t xml:space="preserve">فنى اول كهرباء</t>
  </si>
  <si>
    <r>
      <rPr>
        <sz val="11"/>
        <color theme="1"/>
        <rFont val="Lohit Devanagari"/>
        <family val="2"/>
      </rPr>
      <t xml:space="preserve">فني كهربائي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</si>
  <si>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فنى براد عام</t>
  </si>
  <si>
    <r>
      <rPr>
        <sz val="11"/>
        <color theme="1"/>
        <rFont val="Lohit Devanagari"/>
        <family val="2"/>
      </rPr>
      <t xml:space="preserve">فني الكتروني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</si>
  <si>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r>
      <rPr>
        <sz val="11"/>
        <color theme="1"/>
        <rFont val="Calibri"/>
        <family val="2"/>
        <charset val="1"/>
      </rPr>
      <t xml:space="preserve">CNC </t>
    </r>
    <r>
      <rPr>
        <sz val="11"/>
        <color theme="1"/>
        <rFont val="Lohit Devanagari"/>
        <family val="2"/>
      </rPr>
      <t xml:space="preserve">فنى تشغيل ماكينات</t>
    </r>
  </si>
  <si>
    <t xml:space="preserve">فنى مختبر ميكانيكا</t>
  </si>
  <si>
    <t xml:space="preserve">فنى ميكانيكا</t>
  </si>
  <si>
    <t xml:space="preserve">فنى هيدروليك</t>
  </si>
  <si>
    <t xml:space="preserve">فني معدات كهربائيه</t>
  </si>
  <si>
    <t xml:space="preserve">فني معدات تصوير فوتوغرافي</t>
  </si>
  <si>
    <t xml:space="preserve">فنى كاميرا</t>
  </si>
  <si>
    <t xml:space="preserve">فنى تصوير</t>
  </si>
  <si>
    <t xml:space="preserve">فني صيانة أجهزة بترولية</t>
  </si>
  <si>
    <t xml:space="preserve">فني اجهزه كهربائيه</t>
  </si>
  <si>
    <t xml:space="preserve">فنى كنترول</t>
  </si>
  <si>
    <t xml:space="preserve">فنى انتاج</t>
  </si>
  <si>
    <t xml:space="preserve">فنى تنفيذ</t>
  </si>
  <si>
    <t xml:space="preserve">فنى انتاج اكريليك</t>
  </si>
  <si>
    <t xml:space="preserve">فنى صيانه كهربائية</t>
  </si>
  <si>
    <t xml:space="preserve">فني انتاج كابلت</t>
  </si>
  <si>
    <t xml:space="preserve">فنى متابعة انتاج</t>
  </si>
  <si>
    <t xml:space="preserve">فنى تعبئه</t>
  </si>
  <si>
    <t xml:space="preserve">اخصائى تغليف</t>
  </si>
  <si>
    <t xml:space="preserve">فنى تغليف</t>
  </si>
  <si>
    <t xml:space="preserve">فني اتصالت</t>
  </si>
  <si>
    <t xml:space="preserve">فنى اقمار صناعيه</t>
  </si>
  <si>
    <t xml:space="preserve">فنى هوائيات</t>
  </si>
  <si>
    <t xml:space="preserve">فني اصلح قاطرات كهربائيه</t>
  </si>
  <si>
    <t xml:space="preserve">فني كهرباء سفن</t>
  </si>
  <si>
    <t xml:space="preserve">فني اجهزه قياس </t>
  </si>
  <si>
    <t xml:space="preserve">فنى تشغيل غرف تحكم</t>
  </si>
  <si>
    <t xml:space="preserve">فنى تشغيل معدات</t>
  </si>
  <si>
    <t xml:space="preserve">فنى تشغيل معدات ثقيله</t>
  </si>
  <si>
    <t xml:space="preserve">فنى درفلة معادن</t>
  </si>
  <si>
    <t xml:space="preserve">فنى تشكيل معادن</t>
  </si>
  <si>
    <t xml:space="preserve">فني معدات الكترونيه عام</t>
  </si>
  <si>
    <t xml:space="preserve">فني تليفزيون</t>
  </si>
  <si>
    <t xml:space="preserve">فني الت احصاء الكترونيه</t>
  </si>
  <si>
    <t xml:space="preserve">فنيون هندسه كهربائيه</t>
  </si>
  <si>
    <r>
      <rPr>
        <sz val="11"/>
        <color theme="1"/>
        <rFont val="Lohit Devanagari"/>
        <family val="2"/>
      </rPr>
      <t xml:space="preserve">فني هندسه ميكانيكيه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</si>
  <si>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فني اجهزه بصريه ميكانيكيه</t>
  </si>
  <si>
    <t xml:space="preserve">فني هندسه ميكانيكيه</t>
  </si>
  <si>
    <t xml:space="preserve">فنى لحام بالكسجين والكهرباء</t>
  </si>
  <si>
    <t xml:space="preserve">فنى لحام</t>
  </si>
  <si>
    <t xml:space="preserve">فنى سحب معادن</t>
  </si>
  <si>
    <t xml:space="preserve">فنى حراريات</t>
  </si>
  <si>
    <t xml:space="preserve">فنى سباك معادن</t>
  </si>
  <si>
    <t xml:space="preserve">فني معالجه حراريه</t>
  </si>
  <si>
    <t xml:space="preserve">فنى غليات</t>
  </si>
  <si>
    <t xml:space="preserve">مندوب ضواغط</t>
  </si>
  <si>
    <t xml:space="preserve">فني هندسه الطيران</t>
  </si>
  <si>
    <t xml:space="preserve">فني فحص  مشغولت</t>
  </si>
  <si>
    <t xml:space="preserve">فني هندسه سيارات</t>
  </si>
  <si>
    <t xml:space="preserve">فنى تجميع سيارات</t>
  </si>
  <si>
    <t xml:space="preserve">فنى سمكرى سيارات</t>
  </si>
  <si>
    <t xml:space="preserve">فنى اطارات</t>
  </si>
  <si>
    <t xml:space="preserve">فنى محرك ديزل</t>
  </si>
  <si>
    <t xml:space="preserve">فني اصلح قاطرات ديزل</t>
  </si>
  <si>
    <t xml:space="preserve">معاين سيارات</t>
  </si>
  <si>
    <t xml:space="preserve">فنى ضبط زوايا سيارات</t>
  </si>
  <si>
    <t xml:space="preserve">فني ميكانيكي تهويه وتسخين وتبريد</t>
  </si>
  <si>
    <t xml:space="preserve">فني اصلح قاطرات بخاريه</t>
  </si>
  <si>
    <t xml:space="preserve">فني اصلح عربات سكه حديد</t>
  </si>
  <si>
    <t xml:space="preserve">فني سفن ديزل</t>
  </si>
  <si>
    <t xml:space="preserve">فني سفن بخاريه</t>
  </si>
  <si>
    <t xml:space="preserve">فني بناء سفن</t>
  </si>
  <si>
    <t xml:space="preserve">فنى تركيب واصلح مصاعد كهربائية</t>
  </si>
  <si>
    <t xml:space="preserve">فنيون هندسه ميكانيكيه</t>
  </si>
  <si>
    <r>
      <rPr>
        <sz val="11"/>
        <color theme="1"/>
        <rFont val="Lohit Devanagari"/>
        <family val="2"/>
      </rPr>
      <t xml:space="preserve">فني في الهندسه الكيميائيه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</si>
  <si>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فني انتاج مواد عضويه</t>
  </si>
  <si>
    <t xml:space="preserve">فني كيميائي في منتجات البترول</t>
  </si>
  <si>
    <t xml:space="preserve">فني انتاج خزف وصيني</t>
  </si>
  <si>
    <t xml:space="preserve">فني بلستيك</t>
  </si>
  <si>
    <t xml:space="preserve">فنى حقن بلستيك</t>
  </si>
  <si>
    <t xml:space="preserve">فني انتاج كاوتشوك</t>
  </si>
  <si>
    <t xml:space="preserve">فنى كاوتش وغسيل</t>
  </si>
  <si>
    <t xml:space="preserve">فنى كاوتش </t>
  </si>
  <si>
    <t xml:space="preserve">فني انتاج ورق</t>
  </si>
  <si>
    <t xml:space="preserve">فني تجليد</t>
  </si>
  <si>
    <t xml:space="preserve">فنى تجليد خياطة كتب</t>
  </si>
  <si>
    <t xml:space="preserve">فني دباغه جلود</t>
  </si>
  <si>
    <t xml:space="preserve">الفنيون في الهندسه الكيميائيه</t>
  </si>
  <si>
    <r>
      <rPr>
        <sz val="11"/>
        <color theme="1"/>
        <rFont val="Lohit Devanagari"/>
        <family val="2"/>
      </rPr>
      <t xml:space="preserve">فني في هندسه الفلزات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</si>
  <si>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فني في الفلزات الستخراجيه</t>
  </si>
  <si>
    <t xml:space="preserve">فني في الفلزات الطبيعيه</t>
  </si>
  <si>
    <t xml:space="preserve">الفنيون في هندسه المعادن</t>
  </si>
  <si>
    <r>
      <rPr>
        <sz val="11"/>
        <color theme="1"/>
        <rFont val="Lohit Devanagari"/>
        <family val="2"/>
      </rPr>
      <t xml:space="preserve">فني في التعدين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</si>
  <si>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فني في استخراج البترول</t>
  </si>
  <si>
    <r>
      <rPr>
        <sz val="11"/>
        <color theme="1"/>
        <rFont val="Lohit Devanagari"/>
        <family val="2"/>
      </rPr>
      <t xml:space="preserve">الفنيون في التعدين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</si>
  <si>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فنى فرن</t>
  </si>
  <si>
    <t xml:space="preserve">فني في هندسه النتاج</t>
  </si>
  <si>
    <t xml:space="preserve">فني في دراسه خطه النتاج</t>
  </si>
  <si>
    <t xml:space="preserve">فني غزل</t>
  </si>
  <si>
    <t xml:space="preserve">فني نسيج</t>
  </si>
  <si>
    <t xml:space="preserve">فني تجهيز وصباغه</t>
  </si>
  <si>
    <t xml:space="preserve">فني طباعه</t>
  </si>
  <si>
    <t xml:space="preserve">فنى نقاش </t>
  </si>
  <si>
    <t xml:space="preserve">فنى صنفرة وتلميع</t>
  </si>
  <si>
    <t xml:space="preserve">فنى محارة</t>
  </si>
  <si>
    <t xml:space="preserve">فــنى</t>
  </si>
  <si>
    <t xml:space="preserve">فنى حفـر</t>
  </si>
  <si>
    <t xml:space="preserve">فنى جير</t>
  </si>
  <si>
    <t xml:space="preserve">فنى صيانة</t>
  </si>
  <si>
    <t xml:space="preserve">فنى صيانة الت تصوير مستندات</t>
  </si>
  <si>
    <t xml:space="preserve">فنى صيانة ميكانيكية</t>
  </si>
  <si>
    <t xml:space="preserve">فنى الوميتال</t>
  </si>
  <si>
    <t xml:space="preserve">فنى تركيبات</t>
  </si>
  <si>
    <t xml:space="preserve">فنى المنيوم</t>
  </si>
  <si>
    <t xml:space="preserve">فنى صب مستمر</t>
  </si>
  <si>
    <t xml:space="preserve">فنى غاز صب</t>
  </si>
  <si>
    <t xml:space="preserve">مندوب قياس غاز صب</t>
  </si>
  <si>
    <t xml:space="preserve">فنى شئون بيئه</t>
  </si>
  <si>
    <t xml:space="preserve">فنى مرافق</t>
  </si>
  <si>
    <t xml:space="preserve">فنى مناولة خامات</t>
  </si>
  <si>
    <t xml:space="preserve">الفنيون في الهندسه الخرون</t>
  </si>
  <si>
    <r>
      <rPr>
        <sz val="11"/>
        <color theme="1"/>
        <rFont val="Lohit Devanagari"/>
        <family val="2"/>
      </rPr>
      <t xml:space="preserve">طيار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</si>
  <si>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طيار متخصص </t>
  </si>
  <si>
    <t xml:space="preserve">ملح جوي</t>
  </si>
  <si>
    <t xml:space="preserve">مهندس  جوي</t>
  </si>
  <si>
    <t xml:space="preserve">معلم طيران</t>
  </si>
  <si>
    <t xml:space="preserve">مراقب جوى</t>
  </si>
  <si>
    <t xml:space="preserve">ربان اعالى البحار</t>
  </si>
  <si>
    <t xml:space="preserve">قبطان</t>
  </si>
  <si>
    <t xml:space="preserve">قائد سفينه في المياه الداخليه</t>
  </si>
  <si>
    <t xml:space="preserve">ضابط ملحه بحريه</t>
  </si>
  <si>
    <t xml:space="preserve">مرشد</t>
  </si>
  <si>
    <t xml:space="preserve">خبير بحـرى</t>
  </si>
  <si>
    <t xml:space="preserve">مفتش بحرى</t>
  </si>
  <si>
    <t xml:space="preserve">اخصائى بحرى</t>
  </si>
  <si>
    <t xml:space="preserve">قائد باخرة</t>
  </si>
  <si>
    <t xml:space="preserve">مساعد قائد باخرة</t>
  </si>
  <si>
    <t xml:space="preserve">رصاد</t>
  </si>
  <si>
    <t xml:space="preserve">ضباط السطح علي السفن والمرشدين</t>
  </si>
  <si>
    <t xml:space="preserve">كبير مهندس  السفينه</t>
  </si>
  <si>
    <t xml:space="preserve">مهندس  سفينه</t>
  </si>
  <si>
    <t xml:space="preserve">مخطط سفن</t>
  </si>
  <si>
    <r>
      <rPr>
        <sz val="11"/>
        <color theme="1"/>
        <rFont val="Lohit Devanagari"/>
        <family val="2"/>
      </rPr>
      <t xml:space="preserve">المهندسون علي السفن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</si>
  <si>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اخصائي في علم الحياء</t>
  </si>
  <si>
    <t xml:space="preserve">اخصائي في علم النبات</t>
  </si>
  <si>
    <t xml:space="preserve">اخصائي في علم الحيوان</t>
  </si>
  <si>
    <t xml:space="preserve">اخصائي في علوم تربيه الحيوان</t>
  </si>
  <si>
    <t xml:space="preserve">الخصائيون في علوم الحياء</t>
  </si>
  <si>
    <t xml:space="preserve">اخصائى تحاليل طبية</t>
  </si>
  <si>
    <t xml:space="preserve">اخصائي تشريح</t>
  </si>
  <si>
    <t xml:space="preserve">اخصائي في الكيمياء الحيويه</t>
  </si>
  <si>
    <t xml:space="preserve">اخصائي في علم وظائف العضاء</t>
  </si>
  <si>
    <t xml:space="preserve">اخصائي ابحاث في علم البكتريا</t>
  </si>
  <si>
    <r>
      <rPr>
        <sz val="11"/>
        <color theme="1"/>
        <rFont val="Lohit Devanagari"/>
        <family val="2"/>
      </rPr>
      <t xml:space="preserve">اخصائي في علم المراض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بشري</t>
    </r>
  </si>
  <si>
    <r>
      <rPr>
        <sz val="11"/>
        <color theme="1"/>
        <rFont val="Lohit Devanagari"/>
        <family val="2"/>
      </rPr>
      <t xml:space="preserve">اخصائي في علم المراض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بيطري</t>
    </r>
  </si>
  <si>
    <t xml:space="preserve">اخصائي ابحاث في العلوم الصيدليه</t>
  </si>
  <si>
    <t xml:space="preserve">الخصائيون في علوم البكتريا</t>
  </si>
  <si>
    <t xml:space="preserve">دكتور ـ مهندس زراعى</t>
  </si>
  <si>
    <t xml:space="preserve">دكتور مهندس 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</si>
  <si>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Lohit Devanagari"/>
        <family val="2"/>
      </rPr>
      <t xml:space="preserve">مهندس  زراعي 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Lohit Devanagari"/>
        <family val="2"/>
      </rPr>
      <t xml:space="preserve">أخصائي في علوم الزراعه</t>
    </r>
  </si>
  <si>
    <t xml:space="preserve">اخصائي في المحاصيل الحقليه</t>
  </si>
  <si>
    <t xml:space="preserve">اخصائي في الخضر</t>
  </si>
  <si>
    <t xml:space="preserve">اخصائي في الفاكهه</t>
  </si>
  <si>
    <t xml:space="preserve">اخصائي في نباتات الزينه</t>
  </si>
  <si>
    <t xml:space="preserve">اخصائي في امراض  النباتات</t>
  </si>
  <si>
    <t xml:space="preserve">اخصائي في الحشرات الزراعيه والفات</t>
  </si>
  <si>
    <r>
      <rPr>
        <sz val="11"/>
        <color theme="1"/>
        <rFont val="Lohit Devanagari"/>
        <family val="2"/>
      </rPr>
      <t xml:space="preserve">اخصائي في علوم التربيه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اراضي</t>
    </r>
  </si>
  <si>
    <t xml:space="preserve">اخصائى تربية دواجن</t>
  </si>
  <si>
    <t xml:space="preserve">اخصائي فرز القطن</t>
  </si>
  <si>
    <t xml:space="preserve">اخصائي في الرشاد الزراعي</t>
  </si>
  <si>
    <t xml:space="preserve">اخصائي في المحافظه علي نقاوه</t>
  </si>
  <si>
    <t xml:space="preserve">اخصائي في منتجات اللبان</t>
  </si>
  <si>
    <t xml:space="preserve">اخصائي في الصناعات الغذائيه</t>
  </si>
  <si>
    <t xml:space="preserve">الخصائيون في علوم الزراعه</t>
  </si>
  <si>
    <t xml:space="preserve">فني في علوم الحياء</t>
  </si>
  <si>
    <t xml:space="preserve">فني في العلوم الطبيه</t>
  </si>
  <si>
    <t xml:space="preserve">فني في علوم البكتريا والصيدله</t>
  </si>
  <si>
    <t xml:space="preserve">فني في علوم الزراعه</t>
  </si>
  <si>
    <t xml:space="preserve">فني في علوم تربيه الحيوان</t>
  </si>
  <si>
    <t xml:space="preserve">الفنيون في علوم الحياه</t>
  </si>
  <si>
    <t xml:space="preserve">مستشار الشئون الطبية</t>
  </si>
  <si>
    <t xml:space="preserve">استشارى</t>
  </si>
  <si>
    <t xml:space="preserve">استشارى تحاليل</t>
  </si>
  <si>
    <t xml:space="preserve">استشارى فيزياءالليزر والرنين المغناطيسى</t>
  </si>
  <si>
    <t xml:space="preserve">استشارى تربيه خاصة</t>
  </si>
  <si>
    <t xml:space="preserve">اخصائى تربية خاصة</t>
  </si>
  <si>
    <t xml:space="preserve">استشارى تخاطب</t>
  </si>
  <si>
    <t xml:space="preserve">استشارى نفسى</t>
  </si>
  <si>
    <t xml:space="preserve">استشارى نفسى اكلينيكى</t>
  </si>
  <si>
    <t xml:space="preserve">استشارى تدخل مبكر</t>
  </si>
  <si>
    <t xml:space="preserve">استشارى تأهيل لمتعددى العاقة</t>
  </si>
  <si>
    <t xml:space="preserve">استشارى لغة اشارة الصم</t>
  </si>
  <si>
    <t xml:space="preserve">استشارى تاهيل صم وبكم</t>
  </si>
  <si>
    <t xml:space="preserve">استشارى تنميةمهارات موهوبين</t>
  </si>
  <si>
    <t xml:space="preserve">استشارى تكنولوجيا تعليم ذوى العاقة</t>
  </si>
  <si>
    <t xml:space="preserve">استشارى في مجال ذوى الحتياجات</t>
  </si>
  <si>
    <t xml:space="preserve">استشارى تأهيل مهنى</t>
  </si>
  <si>
    <t xml:space="preserve">استشارى تربية فنيه</t>
  </si>
  <si>
    <t xml:space="preserve">استشارى اجهزة طبيه</t>
  </si>
  <si>
    <t xml:space="preserve">استشارى جهاز هضمى وكبد</t>
  </si>
  <si>
    <r>
      <rPr>
        <sz val="11"/>
        <color theme="1"/>
        <rFont val="Lohit Devanagari"/>
        <family val="2"/>
      </rPr>
      <t xml:space="preserve">طبيب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ممارس  عام</t>
    </r>
  </si>
  <si>
    <t xml:space="preserve">طبيب اخصائي امراض  باطنيه عامه</t>
  </si>
  <si>
    <t xml:space="preserve">طبيب اخصائي امراض  عصبيه وعقليه</t>
  </si>
  <si>
    <t xml:space="preserve">طبيب اخصائي امراض  اطفال</t>
  </si>
  <si>
    <t xml:space="preserve">طبيب اخصائي امراض  القلب والوعيه</t>
  </si>
  <si>
    <t xml:space="preserve">طبيب اخصائي جراحه عامه</t>
  </si>
  <si>
    <t xml:space="preserve">طبيب اخصائي جراحه مسالك بوليه</t>
  </si>
  <si>
    <t xml:space="preserve">طبيب اخصائي جراحه العظام</t>
  </si>
  <si>
    <t xml:space="preserve">طبيب اخصائي امراض  العيون وجراحتها</t>
  </si>
  <si>
    <t xml:space="preserve">طبيب اخصائي جراحه التجميل</t>
  </si>
  <si>
    <t xml:space="preserve">طبيب اخصائي جراحه المخ والعصاب</t>
  </si>
  <si>
    <t xml:space="preserve">طبيب اخصائي امراض  النساء والولده</t>
  </si>
  <si>
    <t xml:space="preserve">طبيب اخصائي انف واذن وحنجره</t>
  </si>
  <si>
    <t xml:space="preserve">طبيب اخصائي امراض  صدريه وتدرن</t>
  </si>
  <si>
    <t xml:space="preserve">طبيب اخصائي امراض  جلديه وتناسليه</t>
  </si>
  <si>
    <t xml:space="preserve">طبيب اخصائي في التخدير</t>
  </si>
  <si>
    <t xml:space="preserve">طبيب اخصائي غدد</t>
  </si>
  <si>
    <t xml:space="preserve">طبيب معمل باثولوجي</t>
  </si>
  <si>
    <t xml:space="preserve">اخصائى ميكروبيولوجى</t>
  </si>
  <si>
    <t xml:space="preserve">طبيب معمل باكتريوليوجي</t>
  </si>
  <si>
    <t xml:space="preserve">طبيب اخصائي في السموم</t>
  </si>
  <si>
    <t xml:space="preserve">طبيب اخصائي في الطب الشرعي</t>
  </si>
  <si>
    <t xml:space="preserve">طبيب اخصائي في نقل الدم</t>
  </si>
  <si>
    <t xml:space="preserve">طبيب اخصائي طب الطيران</t>
  </si>
  <si>
    <t xml:space="preserve">طبيب اخصائي اشعه وكهرباء طبيه</t>
  </si>
  <si>
    <t xml:space="preserve">طبيب اخصائي في الطب الطبيعي</t>
  </si>
  <si>
    <t xml:space="preserve">طبيب اخصائي في الطب التجريبي</t>
  </si>
  <si>
    <t xml:space="preserve">طبيب اخصائي في طب الصناعات</t>
  </si>
  <si>
    <t xml:space="preserve">طبيب اخصائي في الصحه العامه والطب</t>
  </si>
  <si>
    <t xml:space="preserve">طبيب اخصائي في طب المناطق الحاره</t>
  </si>
  <si>
    <t xml:space="preserve">طبيب اخصائي في النسجه والخليا</t>
  </si>
  <si>
    <t xml:space="preserve">اخصائى أجنة</t>
  </si>
  <si>
    <t xml:space="preserve">طبيب اخصائي في الطفيليات</t>
  </si>
  <si>
    <t xml:space="preserve">طبيب اخصائي في التحاليل الطبيه</t>
  </si>
  <si>
    <t xml:space="preserve">الطباء البشريون الخرون</t>
  </si>
  <si>
    <t xml:space="preserve">اخصائى امراض  تخاطب وتأهيل</t>
  </si>
  <si>
    <t xml:space="preserve">اخصائى تعديل سلوك</t>
  </si>
  <si>
    <t xml:space="preserve">اخصائى تنمية مهارات</t>
  </si>
  <si>
    <t xml:space="preserve">اخصائى بطىء تعلم</t>
  </si>
  <si>
    <t xml:space="preserve">اخصائى توحد</t>
  </si>
  <si>
    <t xml:space="preserve">اخصائى نفسى حركى</t>
  </si>
  <si>
    <t xml:space="preserve">اخصائى ارشاد نفسى</t>
  </si>
  <si>
    <t xml:space="preserve">اخصائى تأهيل ذوى العاقة السمعية</t>
  </si>
  <si>
    <t xml:space="preserve">اخصائى تأهيل للمكفوفين</t>
  </si>
  <si>
    <t xml:space="preserve">اخصائى تأهيل صم مكفوفين</t>
  </si>
  <si>
    <t xml:space="preserve">اخصائى تدخل مبكر</t>
  </si>
  <si>
    <t xml:space="preserve">اخصائى تأهيل لمتعددى العاقة</t>
  </si>
  <si>
    <t xml:space="preserve">اخصائى لغة اشارة الصم</t>
  </si>
  <si>
    <t xml:space="preserve">اخصائى تأهيل صم وبكم</t>
  </si>
  <si>
    <t xml:space="preserve">اخصائى تنمية مهارات موهوبين</t>
  </si>
  <si>
    <t xml:space="preserve">اخصائى تكنولوجيا تعليم ذوى العاقة</t>
  </si>
  <si>
    <t xml:space="preserve">اخصائى علج وظائفى</t>
  </si>
  <si>
    <t xml:space="preserve">اخصائى صعوبات تعلم</t>
  </si>
  <si>
    <t xml:space="preserve">اخصائى اعداد برامج تأهيلية</t>
  </si>
  <si>
    <t xml:space="preserve">فني تحاليل طبيه</t>
  </si>
  <si>
    <t xml:space="preserve">مدرب معتمد فى مجال ذوى الحتياجات</t>
  </si>
  <si>
    <t xml:space="preserve">مساعد اخصائى علج وظائفى</t>
  </si>
  <si>
    <t xml:space="preserve">فنى معمل</t>
  </si>
  <si>
    <t xml:space="preserve">اخصائى معمل</t>
  </si>
  <si>
    <r>
      <rPr>
        <sz val="11"/>
        <color theme="1"/>
        <rFont val="Lohit Devanagari"/>
        <family val="2"/>
      </rPr>
      <t xml:space="preserve">فني شئون صحيه ے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Lohit Devanagari"/>
        <family val="2"/>
      </rPr>
      <t xml:space="preserve">معاون صحه</t>
    </r>
  </si>
  <si>
    <t xml:space="preserve">اخصائى استخلص </t>
  </si>
  <si>
    <r>
      <rPr>
        <sz val="11"/>
        <color theme="1"/>
        <rFont val="Lohit Devanagari"/>
        <family val="2"/>
      </rPr>
      <t xml:space="preserve">مساعدو الطباء البشريين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</si>
  <si>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r>
      <rPr>
        <sz val="11"/>
        <color theme="1"/>
        <rFont val="Lohit Devanagari"/>
        <family val="2"/>
      </rPr>
      <t xml:space="preserve">طبيب اسنان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</si>
  <si>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طبيب اخصائي جراحه الفم والسنان</t>
  </si>
  <si>
    <t xml:space="preserve">طبيب اخصائي في تركيب السنان</t>
  </si>
  <si>
    <t xml:space="preserve">طبيب اخصائي في العلج التحفظي</t>
  </si>
  <si>
    <t xml:space="preserve">طبيب اخصائي في تقويم السنان</t>
  </si>
  <si>
    <r>
      <rPr>
        <sz val="11"/>
        <color theme="1"/>
        <rFont val="Lohit Devanagari"/>
        <family val="2"/>
      </rPr>
      <t xml:space="preserve">اطباء السنان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</si>
  <si>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r>
      <rPr>
        <sz val="11"/>
        <color theme="1"/>
        <rFont val="Lohit Devanagari"/>
        <family val="2"/>
      </rPr>
      <t xml:space="preserve">مساعد طبيب أسنان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فني أسنان</t>
    </r>
  </si>
  <si>
    <r>
      <rPr>
        <sz val="11"/>
        <color theme="1"/>
        <rFont val="Lohit Devanagari"/>
        <family val="2"/>
      </rPr>
      <t xml:space="preserve">طبيب بيطري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</si>
  <si>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طبيب بيطري وقائي وصحه عامه</t>
  </si>
  <si>
    <t xml:space="preserve">طبيب بيطري باثولوجي</t>
  </si>
  <si>
    <t xml:space="preserve">مدير الرعاية البيطرية</t>
  </si>
  <si>
    <t xml:space="preserve">مدير الشئون الطبيه</t>
  </si>
  <si>
    <t xml:space="preserve">مدير صيدليه</t>
  </si>
  <si>
    <r>
      <rPr>
        <sz val="11"/>
        <color theme="1"/>
        <rFont val="Lohit Devanagari"/>
        <family val="2"/>
      </rPr>
      <t xml:space="preserve">الطباء البيطريون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</si>
  <si>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مساعد طبيب بيطري</t>
  </si>
  <si>
    <t xml:space="preserve">صيدلي تحضير ادويه اجزجي</t>
  </si>
  <si>
    <t xml:space="preserve">صيدلي صناعه ادويه</t>
  </si>
  <si>
    <t xml:space="preserve">فنى تحضير</t>
  </si>
  <si>
    <t xml:space="preserve">مدير معمل</t>
  </si>
  <si>
    <t xml:space="preserve">مساعد صيدلي</t>
  </si>
  <si>
    <t xml:space="preserve">مساعد معمل</t>
  </si>
  <si>
    <t xml:space="preserve">كيميائى معمل</t>
  </si>
  <si>
    <t xml:space="preserve">استشارى اغذيه</t>
  </si>
  <si>
    <r>
      <rPr>
        <sz val="11"/>
        <color theme="1"/>
        <rFont val="Lohit Devanagari"/>
        <family val="2"/>
      </rPr>
      <t xml:space="preserve">اخصائي اغذيه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</si>
  <si>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اخصائي تغذيه صحه عامه</t>
  </si>
  <si>
    <t xml:space="preserve">مفتش  اغذيه</t>
  </si>
  <si>
    <t xml:space="preserve">اخصائيو الغذاء والتغذيه الصحيه</t>
  </si>
  <si>
    <t xml:space="preserve">رئيس  هيئة تمريض </t>
  </si>
  <si>
    <t xml:space="preserve">اخصائى تمريض </t>
  </si>
  <si>
    <t xml:space="preserve">مشرف تمريض </t>
  </si>
  <si>
    <r>
      <rPr>
        <sz val="11"/>
        <color theme="1"/>
        <rFont val="Lohit Devanagari"/>
        <family val="2"/>
      </rPr>
      <t xml:space="preserve">ممرضه موءهله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عامه</t>
    </r>
  </si>
  <si>
    <t xml:space="preserve">ممرضه موءهله متخصصه</t>
  </si>
  <si>
    <t xml:space="preserve">ممرضه صحه عامه</t>
  </si>
  <si>
    <r>
      <rPr>
        <sz val="11"/>
        <color theme="1"/>
        <rFont val="Lohit Devanagari"/>
        <family val="2"/>
      </rPr>
      <t xml:space="preserve">ممرض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مسعف</t>
    </r>
  </si>
  <si>
    <t xml:space="preserve">ممرضه امراض  مهنيه</t>
  </si>
  <si>
    <t xml:space="preserve">حكيمه</t>
  </si>
  <si>
    <t xml:space="preserve">فنى تمريض </t>
  </si>
  <si>
    <r>
      <rPr>
        <sz val="11"/>
        <color theme="1"/>
        <rFont val="Lohit Devanagari"/>
        <family val="2"/>
      </rPr>
      <t xml:space="preserve">الممرضات الموءهلت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الخريات</t>
    </r>
  </si>
  <si>
    <t xml:space="preserve">مساعد تمريض </t>
  </si>
  <si>
    <t xml:space="preserve">زائره صحيه</t>
  </si>
  <si>
    <t xml:space="preserve">ممرضه غير موءهله</t>
  </si>
  <si>
    <r>
      <rPr>
        <sz val="11"/>
        <color theme="1"/>
        <rFont val="Calibri"/>
        <family val="2"/>
        <charset val="1"/>
      </rPr>
      <t xml:space="preserve">( 000 </t>
    </r>
    <r>
      <rPr>
        <sz val="11"/>
        <color theme="1"/>
        <rFont val="Lohit Devanagari"/>
        <family val="2"/>
      </rPr>
      <t xml:space="preserve">العاملون بالتمريض  الخرون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ممرض  متجول</t>
    </r>
  </si>
  <si>
    <t xml:space="preserve">مولده موءهله</t>
  </si>
  <si>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قابله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دايه</t>
    </r>
  </si>
  <si>
    <t xml:space="preserve">اخصائى بصريات</t>
  </si>
  <si>
    <t xml:space="preserve">فني في صناعه النظارات الطبيه</t>
  </si>
  <si>
    <t xml:space="preserve">فنى بصريات</t>
  </si>
  <si>
    <t xml:space="preserve">فني تركيب وصيانة واصلح اجهزه طبيه</t>
  </si>
  <si>
    <t xml:space="preserve">فنى اجهزة تعويضية</t>
  </si>
  <si>
    <t xml:space="preserve">مدير ادارة السلمة والصحة المهنيه</t>
  </si>
  <si>
    <t xml:space="preserve">رئيس  قسم السلمة والصحة المهنية</t>
  </si>
  <si>
    <t xml:space="preserve">اخصائى سلمة وصحة مهنية</t>
  </si>
  <si>
    <t xml:space="preserve">ادارى سلمه وصحة مهنيه</t>
  </si>
  <si>
    <t xml:space="preserve">مشرف سلمة وصحة مهنية</t>
  </si>
  <si>
    <t xml:space="preserve">مسئول سلمة وصحة مهنية</t>
  </si>
  <si>
    <t xml:space="preserve">اخصائي في العلج الطبيعي</t>
  </si>
  <si>
    <t xml:space="preserve">اخصائي في علج المراض  المهنيه</t>
  </si>
  <si>
    <t xml:space="preserve">مدلك</t>
  </si>
  <si>
    <t xml:space="preserve">اخصائى نفسى</t>
  </si>
  <si>
    <t xml:space="preserve">اخصائى نفسى اكلينيكى</t>
  </si>
  <si>
    <t xml:space="preserve">فني اشعه</t>
  </si>
  <si>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مجبر عظام </t>
    </r>
    <r>
      <rPr>
        <sz val="11"/>
        <color theme="1"/>
        <rFont val="Calibri"/>
        <family val="2"/>
        <charset val="1"/>
      </rPr>
      <t xml:space="preserve">(  </t>
    </r>
    <r>
      <rPr>
        <sz val="11"/>
        <color theme="1"/>
        <rFont val="Lohit Devanagari"/>
        <family val="2"/>
      </rPr>
      <t xml:space="preserve">مجبراتي</t>
    </r>
  </si>
  <si>
    <t xml:space="preserve">فني صحي</t>
  </si>
  <si>
    <t xml:space="preserve">فنى سلمه وصحه مهنية</t>
  </si>
  <si>
    <t xml:space="preserve">فني في علج التشويه</t>
  </si>
  <si>
    <t xml:space="preserve">اطباء بشريون لم ترد مهنهم</t>
  </si>
  <si>
    <r>
      <rPr>
        <sz val="11"/>
        <color theme="1"/>
        <rFont val="Lohit Devanagari"/>
        <family val="2"/>
      </rPr>
      <t xml:space="preserve">اخصائو في الحصاء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</si>
  <si>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اخصائي في رياضيات الحصاء</t>
  </si>
  <si>
    <t xml:space="preserve">اخصائي في الحصاء التطبيقي</t>
  </si>
  <si>
    <t xml:space="preserve">اخصائي في الرياضيات البحته</t>
  </si>
  <si>
    <t xml:space="preserve">اخصائي في الرياضيات التطبقيه</t>
  </si>
  <si>
    <t xml:space="preserve">اخصائي اكتواري</t>
  </si>
  <si>
    <t xml:space="preserve">اخصائي تصميم جرافيك</t>
  </si>
  <si>
    <t xml:space="preserve">اخصائى دعم فــنى</t>
  </si>
  <si>
    <t xml:space="preserve">اخصائي تحليل نظم اليه ومعلومات</t>
  </si>
  <si>
    <t xml:space="preserve">محلل نظــم</t>
  </si>
  <si>
    <t xml:space="preserve">استشارى نظم</t>
  </si>
  <si>
    <t xml:space="preserve">اخصائى اول نظم معلومات</t>
  </si>
  <si>
    <t xml:space="preserve">اخصائى نظم معلومات جغرافية</t>
  </si>
  <si>
    <t xml:space="preserve">اخصائى نظم المعلومات الجغرافية والجيولوجية</t>
  </si>
  <si>
    <r>
      <rPr>
        <sz val="11"/>
        <color theme="1"/>
        <rFont val="Lohit Devanagari"/>
        <family val="2"/>
      </rPr>
      <t xml:space="preserve">اخصائى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Lohit Devanagari"/>
        <family val="2"/>
      </rPr>
      <t xml:space="preserve">مسئول 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Lohit Devanagari"/>
        <family val="2"/>
      </rPr>
      <t xml:space="preserve">دعم تقنى</t>
    </r>
  </si>
  <si>
    <t xml:space="preserve">اخصائى حلول تقنية</t>
  </si>
  <si>
    <t xml:space="preserve">مصمم حلول تقنية</t>
  </si>
  <si>
    <t xml:space="preserve">اخصائى حاسب آلى</t>
  </si>
  <si>
    <t xml:space="preserve">فني في الحصاء</t>
  </si>
  <si>
    <t xml:space="preserve">مطور برمجيات</t>
  </si>
  <si>
    <t xml:space="preserve">مطور برمجيات بحثيه متقدم</t>
  </si>
  <si>
    <t xml:space="preserve">اخصائي برامج اليه</t>
  </si>
  <si>
    <t xml:space="preserve">اخصائى شبكات كمبيوتر</t>
  </si>
  <si>
    <t xml:space="preserve">اخصائى تكنولوجيا معلومات</t>
  </si>
  <si>
    <t xml:space="preserve">اخصائى تكنولوجيا الكترونيات</t>
  </si>
  <si>
    <t xml:space="preserve">اخصائى مكتبات ومعلومات</t>
  </si>
  <si>
    <t xml:space="preserve">فنى شبكات كمبيوتر</t>
  </si>
  <si>
    <t xml:space="preserve">مبرمج حاسب آلى</t>
  </si>
  <si>
    <t xml:space="preserve">مبرمج تكنولوجيا المعلومات</t>
  </si>
  <si>
    <t xml:space="preserve">مبرمج اول تطبيقات</t>
  </si>
  <si>
    <t xml:space="preserve">فنى حاسب الـى</t>
  </si>
  <si>
    <t xml:space="preserve">الفنيون في الحصاء والرياضيات</t>
  </si>
  <si>
    <t xml:space="preserve">مصمم مواقع انترنت</t>
  </si>
  <si>
    <t xml:space="preserve">مصمم اعلنات</t>
  </si>
  <si>
    <t xml:space="preserve">اخصائى صيانة اجهزة الحاسب اللى</t>
  </si>
  <si>
    <t xml:space="preserve">اخصائى مراقبه اجهزة</t>
  </si>
  <si>
    <t xml:space="preserve">مدخل بيانات</t>
  </si>
  <si>
    <t xml:space="preserve">مشغل حاسب الى</t>
  </si>
  <si>
    <t xml:space="preserve">مشغل نظم تحكم</t>
  </si>
  <si>
    <t xml:space="preserve">اخصائى اول قاعدة بيانات</t>
  </si>
  <si>
    <r>
      <rPr>
        <sz val="11"/>
        <color theme="1"/>
        <rFont val="Lohit Devanagari"/>
        <family val="2"/>
      </rPr>
      <t xml:space="preserve">اخصائي في القتصاد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محلل دراسات اقتصاديه</t>
    </r>
  </si>
  <si>
    <t xml:space="preserve">خبير نظم معلومـات</t>
  </si>
  <si>
    <t xml:space="preserve">دكتور محاسب</t>
  </si>
  <si>
    <t xml:space="preserve">محاسب</t>
  </si>
  <si>
    <t xml:space="preserve">محاسب قانونى</t>
  </si>
  <si>
    <t xml:space="preserve">محاسب ومستشار تحكيم دولى</t>
  </si>
  <si>
    <t xml:space="preserve">مستشار تحكيم دولى ومحاسب قانونى</t>
  </si>
  <si>
    <t xml:space="preserve">مستشار تحكيم دولى</t>
  </si>
  <si>
    <t xml:space="preserve">دكتور فى القانون الدولى ومستشار تحكيم دولى</t>
  </si>
  <si>
    <t xml:space="preserve">محاسب اول حسابات عملء</t>
  </si>
  <si>
    <t xml:space="preserve">محاسب اول الموردين</t>
  </si>
  <si>
    <t xml:space="preserve">محاسب اول حسابات عامة</t>
  </si>
  <si>
    <t xml:space="preserve">محاسب موردين ومدفوعات</t>
  </si>
  <si>
    <t xml:space="preserve">محاسب بنوك وتمويل</t>
  </si>
  <si>
    <t xml:space="preserve">محاسب حسابات عامة</t>
  </si>
  <si>
    <t xml:space="preserve">مراجــع</t>
  </si>
  <si>
    <t xml:space="preserve">مراجع حسابات</t>
  </si>
  <si>
    <t xml:space="preserve">مراجع مالى</t>
  </si>
  <si>
    <t xml:space="preserve">مدقق حسابات</t>
  </si>
  <si>
    <t xml:space="preserve">مراجع داخلى</t>
  </si>
  <si>
    <t xml:space="preserve">اخصائى تمويل ومحاسبه</t>
  </si>
  <si>
    <t xml:space="preserve">مصرفي</t>
  </si>
  <si>
    <t xml:space="preserve">اخصــائى</t>
  </si>
  <si>
    <t xml:space="preserve">اخصائى مبيعات</t>
  </si>
  <si>
    <t xml:space="preserve">اخصائى رقابة جودة</t>
  </si>
  <si>
    <t xml:space="preserve">اخصائى توكيد جودة</t>
  </si>
  <si>
    <t xml:space="preserve">اخصائى انتاج</t>
  </si>
  <si>
    <t xml:space="preserve">مفتش جوده</t>
  </si>
  <si>
    <t xml:space="preserve">اخصائى ادارى</t>
  </si>
  <si>
    <t xml:space="preserve">اخصائى ارشيف</t>
  </si>
  <si>
    <t xml:space="preserve">اخصائى مشتريات</t>
  </si>
  <si>
    <t xml:space="preserve">اخصائى امن</t>
  </si>
  <si>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اخصائى تسويق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اختصاصى تسويق</t>
    </r>
  </si>
  <si>
    <t xml:space="preserve">اخصائى احتياجات</t>
  </si>
  <si>
    <t xml:space="preserve">اخصائى لوجستيات</t>
  </si>
  <si>
    <t xml:space="preserve">اخصائى تنفيذ مشروعات</t>
  </si>
  <si>
    <t xml:space="preserve">اخصائى تخطيط</t>
  </si>
  <si>
    <t xml:space="preserve">اخصائى تخطيط منتج</t>
  </si>
  <si>
    <t xml:space="preserve">اخصائى تمويل</t>
  </si>
  <si>
    <t xml:space="preserve">اخصائى مزايا</t>
  </si>
  <si>
    <t xml:space="preserve">اخصائى اقراض </t>
  </si>
  <si>
    <t xml:space="preserve">اخصائى تسجيل وجدولة</t>
  </si>
  <si>
    <t xml:space="preserve">اخصائى تراخيص </t>
  </si>
  <si>
    <t xml:space="preserve">رئيس اخصائيين سكرتاريه</t>
  </si>
  <si>
    <t xml:space="preserve">رئيس  قسـم</t>
  </si>
  <si>
    <t xml:space="preserve">رئيس اقسام</t>
  </si>
  <si>
    <t xml:space="preserve">مساعد رئيس قسم</t>
  </si>
  <si>
    <t xml:space="preserve">رئيس  تنفيذى</t>
  </si>
  <si>
    <t xml:space="preserve">نائب رئيس  تنفيذى</t>
  </si>
  <si>
    <t xml:space="preserve">رئيس  مجموعة</t>
  </si>
  <si>
    <t xml:space="preserve">رئيس شعبة</t>
  </si>
  <si>
    <t xml:space="preserve">وكيل شعبة</t>
  </si>
  <si>
    <t xml:space="preserve">نائب رئيس قسم</t>
  </si>
  <si>
    <t xml:space="preserve">نائب رئيس الشئون الماليه</t>
  </si>
  <si>
    <t xml:space="preserve">نائب رئيس قسم شئون العاملين</t>
  </si>
  <si>
    <t xml:space="preserve">نائب رئيس قسم الموارد البشريه</t>
  </si>
  <si>
    <t xml:space="preserve">رئيس  قسم حسابات</t>
  </si>
  <si>
    <t xml:space="preserve">رئيس  قسم اليرادات</t>
  </si>
  <si>
    <t xml:space="preserve">رئيس  قسم حسابات استيراد وتصدير</t>
  </si>
  <si>
    <t xml:space="preserve">مشرف حسابات</t>
  </si>
  <si>
    <t xml:space="preserve">مشرف تخطيط مالى</t>
  </si>
  <si>
    <t xml:space="preserve">مشرف تخطيط</t>
  </si>
  <si>
    <t xml:space="preserve">مشرف تخطيط هندسى</t>
  </si>
  <si>
    <t xml:space="preserve">رئيس  قسم التخطيط</t>
  </si>
  <si>
    <t xml:space="preserve">رئيس  قسم التخطيط والمتابعه</t>
  </si>
  <si>
    <t xml:space="preserve">رئيس  قسم تخطيط مواد</t>
  </si>
  <si>
    <t xml:space="preserve">رئيس  قسم التحصيل</t>
  </si>
  <si>
    <t xml:space="preserve">رئيس  قسم خطوط النتاج</t>
  </si>
  <si>
    <t xml:space="preserve">رئيس قسم الئتمان والتحصيل</t>
  </si>
  <si>
    <t xml:space="preserve">رئيس قسم العداد والتسجيل</t>
  </si>
  <si>
    <t xml:space="preserve">رئيس قسم شئون المقر</t>
  </si>
  <si>
    <t xml:space="preserve">رئيس  قسم شئون العاملين</t>
  </si>
  <si>
    <t xml:space="preserve">مشرف شئون عاملين</t>
  </si>
  <si>
    <t xml:space="preserve">اخصائى عقود</t>
  </si>
  <si>
    <t xml:space="preserve">رئيس قسم نظم معلومات</t>
  </si>
  <si>
    <t xml:space="preserve">رئيس  قسم الحاسب اللى</t>
  </si>
  <si>
    <t xml:space="preserve">رئيس  قسم الرعاية الصحية</t>
  </si>
  <si>
    <t xml:space="preserve">رئيس قسم شئون العضوية</t>
  </si>
  <si>
    <t xml:space="preserve">رئيس  قسم التأمينات</t>
  </si>
  <si>
    <t xml:space="preserve">اخصائى تامينات اجتماعية</t>
  </si>
  <si>
    <t xml:space="preserve">اخصائى تامينات سيارات</t>
  </si>
  <si>
    <t xml:space="preserve">مشرف تأمين</t>
  </si>
  <si>
    <t xml:space="preserve">مدير فريق خدمات تأمينية</t>
  </si>
  <si>
    <t xml:space="preserve">رئيس  قسم الجور</t>
  </si>
  <si>
    <t xml:space="preserve">رئيس  قسم الجازات</t>
  </si>
  <si>
    <t xml:space="preserve">رئيس  قسم الحجز الدارى</t>
  </si>
  <si>
    <t xml:space="preserve">رئيس  قسم الشئون القانونية</t>
  </si>
  <si>
    <t xml:space="preserve">رئيس  قسم الشئون الداريه</t>
  </si>
  <si>
    <t xml:space="preserve">مشرف شئون ادارية</t>
  </si>
  <si>
    <t xml:space="preserve">اخصائى انشاء وثائق</t>
  </si>
  <si>
    <t xml:space="preserve">مراجع شئون ادارية</t>
  </si>
  <si>
    <t xml:space="preserve">منسق شئون اداريه</t>
  </si>
  <si>
    <t xml:space="preserve">منسق موارد بشرية</t>
  </si>
  <si>
    <t xml:space="preserve">رئيس  قسم المخازن</t>
  </si>
  <si>
    <t xml:space="preserve">مشرف مخازن</t>
  </si>
  <si>
    <t xml:space="preserve">مشرف جودة</t>
  </si>
  <si>
    <t xml:space="preserve">رئيس  قسم المراجعه</t>
  </si>
  <si>
    <t xml:space="preserve">رئيس  قسم المبيعات</t>
  </si>
  <si>
    <t xml:space="preserve">مشرف مبيعات</t>
  </si>
  <si>
    <t xml:space="preserve">رئيس  قسم دعم المبيعات</t>
  </si>
  <si>
    <t xml:space="preserve">رئيس  قسم بوحده انتاجيه</t>
  </si>
  <si>
    <t xml:space="preserve">رئيس  قسم التكاليف</t>
  </si>
  <si>
    <t xml:space="preserve">رئيس  قسم المن</t>
  </si>
  <si>
    <t xml:space="preserve">رئيس قسم امن صناعى</t>
  </si>
  <si>
    <t xml:space="preserve">رئيس قسم الطوارىء</t>
  </si>
  <si>
    <t xml:space="preserve">رئيس  قسم الجمارك</t>
  </si>
  <si>
    <t xml:space="preserve">رئيس  قسم الجوده</t>
  </si>
  <si>
    <t xml:space="preserve">رئيس قسم توكيد جوده</t>
  </si>
  <si>
    <t xml:space="preserve">رئيس قسم اللوجيستيك</t>
  </si>
  <si>
    <t xml:space="preserve">رئيس  قسم استقبال المواد</t>
  </si>
  <si>
    <t xml:space="preserve">رئيس  قسم التبريد</t>
  </si>
  <si>
    <t xml:space="preserve">رئيس  قسم الصيانه</t>
  </si>
  <si>
    <t xml:space="preserve">رئيس  قسم سياحة دينية</t>
  </si>
  <si>
    <t xml:space="preserve">رئيس قسم الحركة</t>
  </si>
  <si>
    <t xml:space="preserve">رئيس  قسم خدمة العملء</t>
  </si>
  <si>
    <t xml:space="preserve">رئيس  قسم شكاوى العملء</t>
  </si>
  <si>
    <t xml:space="preserve">رئيس  قسم حسابات العملء</t>
  </si>
  <si>
    <t xml:space="preserve">مهندس  ورشة</t>
  </si>
  <si>
    <t xml:space="preserve">رئيس  ورشه</t>
  </si>
  <si>
    <t xml:space="preserve">رئيس  ملحظين</t>
  </si>
  <si>
    <t xml:space="preserve">رئيس  فنيين تنفيذى</t>
  </si>
  <si>
    <t xml:space="preserve">رئيس قسم البحاث والتطوير</t>
  </si>
  <si>
    <t xml:space="preserve">رئيس  قسم التطوير</t>
  </si>
  <si>
    <t xml:space="preserve">رئيس قسم الطباعه</t>
  </si>
  <si>
    <t xml:space="preserve">رئيس قسم التجليد</t>
  </si>
  <si>
    <t xml:space="preserve">رئيس  مشرفين</t>
  </si>
  <si>
    <t xml:space="preserve">رئيس مشرفين فنيين</t>
  </si>
  <si>
    <t xml:space="preserve">امين عهدة نقدية</t>
  </si>
  <si>
    <t xml:space="preserve">امين صندوق</t>
  </si>
  <si>
    <t xml:space="preserve">رئيس  خزينة</t>
  </si>
  <si>
    <r>
      <rPr>
        <sz val="11"/>
        <color theme="1"/>
        <rFont val="Lohit Devanagari"/>
        <family val="2"/>
      </rPr>
      <t xml:space="preserve">المحاسبون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</si>
  <si>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محام</t>
  </si>
  <si>
    <t xml:space="preserve">اخصائى مشتريات خارجية</t>
  </si>
  <si>
    <t xml:space="preserve">مشرف مشتريات</t>
  </si>
  <si>
    <t xml:space="preserve">منسق مشتريات</t>
  </si>
  <si>
    <t xml:space="preserve">منسق تسويق</t>
  </si>
  <si>
    <t xml:space="preserve">قاضي</t>
  </si>
  <si>
    <t xml:space="preserve">قاضى اتفاقى</t>
  </si>
  <si>
    <t xml:space="preserve">مستشار قانوني</t>
  </si>
  <si>
    <t xml:space="preserve">باحث قانونى</t>
  </si>
  <si>
    <t xml:space="preserve">ممثل قانونى</t>
  </si>
  <si>
    <t xml:space="preserve">عضو نيابه عامه</t>
  </si>
  <si>
    <t xml:space="preserve">عضو نيابه اداريه</t>
  </si>
  <si>
    <r>
      <rPr>
        <sz val="11"/>
        <color theme="1"/>
        <rFont val="Lohit Devanagari"/>
        <family val="2"/>
      </rPr>
      <t xml:space="preserve">عضو بمجلس  الدوله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قضاء اداري</t>
    </r>
  </si>
  <si>
    <r>
      <rPr>
        <sz val="11"/>
        <color theme="1"/>
        <rFont val="Lohit Devanagari"/>
        <family val="2"/>
      </rPr>
      <t xml:space="preserve">موثق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مصلحه الشهر العقاري</t>
    </r>
  </si>
  <si>
    <t xml:space="preserve">ماءذون شرعي</t>
  </si>
  <si>
    <t xml:space="preserve">امين سجل مدني</t>
  </si>
  <si>
    <t xml:space="preserve">رجال القانون الخرون</t>
  </si>
  <si>
    <t xml:space="preserve">عضو هيئة تدريس بالجامعة</t>
  </si>
  <si>
    <t xml:space="preserve">عضو هيئه التدريس  في الداب</t>
  </si>
  <si>
    <t xml:space="preserve">عضو هيئه التدريس  في العلوم</t>
  </si>
  <si>
    <t xml:space="preserve">عضو هيئه التدريس  في القانون</t>
  </si>
  <si>
    <t xml:space="preserve">عضو هيئه التدريس  في علوم تجاريه</t>
  </si>
  <si>
    <t xml:space="preserve">عضو هيئه التدريس  في علوم اجتماعيه</t>
  </si>
  <si>
    <t xml:space="preserve">عضو هيئه التدريس  في علوم هندسيه</t>
  </si>
  <si>
    <t xml:space="preserve">عضو هيئه التدريس  في علوم الرياضه</t>
  </si>
  <si>
    <t xml:space="preserve">عضو هيئه التدريس  في علوم الطبيعه</t>
  </si>
  <si>
    <t xml:space="preserve">عضو هيئه التدريس  في اللغات</t>
  </si>
  <si>
    <t xml:space="preserve">عضو هيئه التدريس  في العلوم الطبيه</t>
  </si>
  <si>
    <t xml:space="preserve">عضو هيئه التدريس  في علوم زراعيه</t>
  </si>
  <si>
    <t xml:space="preserve">عضو هيئه التدريس  في علوم دينيه</t>
  </si>
  <si>
    <t xml:space="preserve">استاذ</t>
  </si>
  <si>
    <t xml:space="preserve">استاذ قسم علوم الحاسب</t>
  </si>
  <si>
    <t xml:space="preserve">استاذ مساعد</t>
  </si>
  <si>
    <t xml:space="preserve">استاذ محاسبة بالجامعة</t>
  </si>
  <si>
    <t xml:space="preserve">اساتذه ومدرسو الجامعات والمعاهد</t>
  </si>
  <si>
    <t xml:space="preserve">معيــد</t>
  </si>
  <si>
    <t xml:space="preserve">محاضر بالجامعة</t>
  </si>
  <si>
    <t xml:space="preserve">معيد بالمعاهد العليا</t>
  </si>
  <si>
    <t xml:space="preserve">دكتور ادارة أعمال</t>
  </si>
  <si>
    <t xml:space="preserve">باحث لغوى</t>
  </si>
  <si>
    <t xml:space="preserve">مشرف مواد علمية</t>
  </si>
  <si>
    <t xml:space="preserve">مدرس </t>
  </si>
  <si>
    <t xml:space="preserve">مدرس  اول</t>
  </si>
  <si>
    <t xml:space="preserve">مدرس جامعى</t>
  </si>
  <si>
    <t xml:space="preserve">مدرس  الداب</t>
  </si>
  <si>
    <t xml:space="preserve">مدرس مساعد</t>
  </si>
  <si>
    <t xml:space="preserve">مدرس  دراسات اجتماعيه</t>
  </si>
  <si>
    <t xml:space="preserve">مدرس تاريخ ثانوى</t>
  </si>
  <si>
    <t xml:space="preserve">مدرس جغرافيا ثانوى</t>
  </si>
  <si>
    <t xml:space="preserve">مدرس  رياضيات</t>
  </si>
  <si>
    <t xml:space="preserve">مدرس رياضيات لغات</t>
  </si>
  <si>
    <t xml:space="preserve">مدرس  لغه انجليزية</t>
  </si>
  <si>
    <t xml:space="preserve">مدرس  في اللغات</t>
  </si>
  <si>
    <t xml:space="preserve">مدرس لغة عربية</t>
  </si>
  <si>
    <t xml:space="preserve">مدرس لغة فرنسيه</t>
  </si>
  <si>
    <t xml:space="preserve">مدرس لغة المانية</t>
  </si>
  <si>
    <t xml:space="preserve">مدرس كيمياء</t>
  </si>
  <si>
    <t xml:space="preserve">مدرس  في العلوم الطبيعيه</t>
  </si>
  <si>
    <t xml:space="preserve">مدرس  في العلوم التجاريه</t>
  </si>
  <si>
    <t xml:space="preserve">مدرس  فنون</t>
  </si>
  <si>
    <t xml:space="preserve">مدرس  حرف</t>
  </si>
  <si>
    <t xml:space="preserve">مدرس  تدبير منزلي وتفصيل</t>
  </si>
  <si>
    <t xml:space="preserve">مدرس  تربيه رياضية</t>
  </si>
  <si>
    <t xml:space="preserve">مدرس  موسيقى</t>
  </si>
  <si>
    <t xml:space="preserve">مدرس  علوم زراعيه</t>
  </si>
  <si>
    <t xml:space="preserve">مدرس  علوم دينيه</t>
  </si>
  <si>
    <r>
      <rPr>
        <sz val="11"/>
        <color theme="1"/>
        <rFont val="Lohit Devanagari"/>
        <family val="2"/>
      </rPr>
      <t xml:space="preserve">مدرسو المرحله الثانويه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</si>
  <si>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مدرس  كمبيوتر</t>
  </si>
  <si>
    <r>
      <rPr>
        <sz val="11"/>
        <color theme="1"/>
        <rFont val="Lohit Devanagari"/>
        <family val="2"/>
      </rPr>
      <t xml:space="preserve">مدرس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مدرسة بالمدارس البتدائية</t>
    </r>
  </si>
  <si>
    <r>
      <rPr>
        <sz val="11"/>
        <color theme="1"/>
        <rFont val="Lohit Devanagari"/>
        <family val="2"/>
      </rPr>
      <t xml:space="preserve">مدرس  </t>
    </r>
    <r>
      <rPr>
        <sz val="11"/>
        <color theme="1"/>
        <rFont val="Calibri"/>
        <family val="2"/>
        <charset val="1"/>
      </rPr>
      <t xml:space="preserve">/  </t>
    </r>
    <r>
      <rPr>
        <sz val="11"/>
        <color theme="1"/>
        <rFont val="Lohit Devanagari"/>
        <family val="2"/>
      </rPr>
      <t xml:space="preserve">مشرف بمدارس  الحضانه</t>
    </r>
  </si>
  <si>
    <t xml:space="preserve">مشرف بالمدارس البتدائية</t>
  </si>
  <si>
    <t xml:space="preserve">مدرس  انواع خاصه من التعليم</t>
  </si>
  <si>
    <t xml:space="preserve">مدرس  تربيه خاصة</t>
  </si>
  <si>
    <t xml:space="preserve">مدرس  بالمدارس  العداديه</t>
  </si>
  <si>
    <t xml:space="preserve">مدرس  بمراكز التدريب المهني ثانويه</t>
  </si>
  <si>
    <t xml:space="preserve">مدرس  بمراكز التدريب المهني اعداديه</t>
  </si>
  <si>
    <t xml:space="preserve">وكيل مدرسه لغات</t>
  </si>
  <si>
    <t xml:space="preserve">رئيس شئون الطلب</t>
  </si>
  <si>
    <t xml:space="preserve">مدرس  تحفيظ القراءن</t>
  </si>
  <si>
    <t xml:space="preserve">اخصائي في طرق التعليم والتخاطب</t>
  </si>
  <si>
    <t xml:space="preserve">اخصائي في المساعدات التعليميه</t>
  </si>
  <si>
    <t xml:space="preserve">صاحب مدرسه</t>
  </si>
  <si>
    <t xml:space="preserve">ناظر مدرسه</t>
  </si>
  <si>
    <t xml:space="preserve">ناظر مدرسة ثانوى</t>
  </si>
  <si>
    <t xml:space="preserve">وكيل مدرسه</t>
  </si>
  <si>
    <t xml:space="preserve">مدير مدرسه</t>
  </si>
  <si>
    <t xml:space="preserve">موجــه</t>
  </si>
  <si>
    <t xml:space="preserve">المدرسون الذين لم ترد مهنهم</t>
  </si>
  <si>
    <t xml:space="preserve">واعظ</t>
  </si>
  <si>
    <t xml:space="preserve">امام مسجد</t>
  </si>
  <si>
    <t xml:space="preserve">مقريء</t>
  </si>
  <si>
    <t xml:space="preserve">موءذن</t>
  </si>
  <si>
    <t xml:space="preserve">مقرىء درجه ثانيه</t>
  </si>
  <si>
    <t xml:space="preserve">مدير مجمع فقهاء الشريعة</t>
  </si>
  <si>
    <r>
      <rPr>
        <sz val="11"/>
        <color theme="1"/>
        <rFont val="Lohit Devanagari"/>
        <family val="2"/>
      </rPr>
      <t xml:space="preserve">رجال الدين السلمي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</si>
  <si>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مطران</t>
  </si>
  <si>
    <t xml:space="preserve">قسيس </t>
  </si>
  <si>
    <t xml:space="preserve">شماس </t>
  </si>
  <si>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رجال الدين المسيحي الخرون  </t>
    </r>
    <r>
      <rPr>
        <sz val="11"/>
        <color theme="1"/>
        <rFont val="Calibri"/>
        <family val="2"/>
        <charset val="1"/>
      </rPr>
      <t xml:space="preserve">(  </t>
    </r>
    <r>
      <rPr>
        <sz val="11"/>
        <color theme="1"/>
        <rFont val="Lohit Devanagari"/>
        <family val="2"/>
      </rPr>
      <t xml:space="preserve">مرتل كنيسه</t>
    </r>
  </si>
  <si>
    <t xml:space="preserve">رجل الدين اليهودي</t>
  </si>
  <si>
    <t xml:space="preserve">رجل دين لم ترد مهنته فيما سبق</t>
  </si>
  <si>
    <t xml:space="preserve">كاتب مؤلفات ادبية</t>
  </si>
  <si>
    <t xml:space="preserve">ناقد فني</t>
  </si>
  <si>
    <t xml:space="preserve">اخصائى اعلم</t>
  </si>
  <si>
    <t xml:space="preserve">مصـحح</t>
  </si>
  <si>
    <t xml:space="preserve">مصمم صحــف</t>
  </si>
  <si>
    <t xml:space="preserve">منسق صحــف</t>
  </si>
  <si>
    <t xml:space="preserve">منفذ صحــف</t>
  </si>
  <si>
    <t xml:space="preserve">سكرتير تحرير</t>
  </si>
  <si>
    <t xml:space="preserve">نائب رئيس التحرير</t>
  </si>
  <si>
    <t xml:space="preserve">مساعد رئيس التحرير</t>
  </si>
  <si>
    <t xml:space="preserve">مخرج صحفى</t>
  </si>
  <si>
    <t xml:space="preserve">مراجع تحـرير</t>
  </si>
  <si>
    <r>
      <rPr>
        <sz val="11"/>
        <color theme="1"/>
        <rFont val="Calibri"/>
        <family val="2"/>
        <charset val="1"/>
      </rPr>
      <t xml:space="preserve">" </t>
    </r>
    <r>
      <rPr>
        <sz val="11"/>
        <color theme="1"/>
        <rFont val="Lohit Devanagari"/>
        <family val="2"/>
      </rPr>
      <t xml:space="preserve">محرر </t>
    </r>
    <r>
      <rPr>
        <sz val="11"/>
        <color theme="1"/>
        <rFont val="Calibri"/>
        <family val="2"/>
        <charset val="1"/>
      </rPr>
      <t xml:space="preserve">" </t>
    </r>
    <r>
      <rPr>
        <sz val="11"/>
        <color theme="1"/>
        <rFont val="Lohit Devanagari"/>
        <family val="2"/>
      </rPr>
      <t xml:space="preserve">تحت التمرين</t>
    </r>
  </si>
  <si>
    <t xml:space="preserve">صحفى تحت التمرين</t>
  </si>
  <si>
    <t xml:space="preserve">محرر مراجع تحت التمرين</t>
  </si>
  <si>
    <t xml:space="preserve">رئيس  المراسلين</t>
  </si>
  <si>
    <t xml:space="preserve">مراسل</t>
  </si>
  <si>
    <t xml:space="preserve">مراسل خارجى</t>
  </si>
  <si>
    <t xml:space="preserve">مراسل صحفــى</t>
  </si>
  <si>
    <t xml:space="preserve">محرر رياضى</t>
  </si>
  <si>
    <r>
      <rPr>
        <sz val="11"/>
        <color theme="1"/>
        <rFont val="Lohit Devanagari"/>
        <family val="2"/>
      </rPr>
      <t xml:space="preserve">صحفي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</si>
  <si>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مدير تحرير</t>
  </si>
  <si>
    <t xml:space="preserve">رئيس  تحرير</t>
  </si>
  <si>
    <t xml:space="preserve">محرر صحــفى</t>
  </si>
  <si>
    <t xml:space="preserve">محرر</t>
  </si>
  <si>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Lohit Devanagari"/>
        <family val="2"/>
      </rPr>
      <t xml:space="preserve">محرر الكترونى</t>
    </r>
  </si>
  <si>
    <t xml:space="preserve">مخبر صحفي</t>
  </si>
  <si>
    <t xml:space="preserve">معلق الذاعه والتليفزيون</t>
  </si>
  <si>
    <t xml:space="preserve">محرر اعلنات</t>
  </si>
  <si>
    <t xml:space="preserve">محرر دعايه ونشر</t>
  </si>
  <si>
    <t xml:space="preserve">محرر شئون علميه</t>
  </si>
  <si>
    <t xml:space="preserve">الموءلفون والصحفيون ومن اليهم</t>
  </si>
  <si>
    <t xml:space="preserve">مثال</t>
  </si>
  <si>
    <t xml:space="preserve">رسام متجول</t>
  </si>
  <si>
    <t xml:space="preserve">رسام كاريكاتيري</t>
  </si>
  <si>
    <t xml:space="preserve">فنان تشكيلى</t>
  </si>
  <si>
    <r>
      <rPr>
        <sz val="11"/>
        <color theme="1"/>
        <rFont val="Lohit Devanagari"/>
        <family val="2"/>
      </rPr>
      <t xml:space="preserve">فنان حفر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حفار</t>
    </r>
  </si>
  <si>
    <t xml:space="preserve">فنان حفر بواسطه الحماض </t>
  </si>
  <si>
    <t xml:space="preserve">مرمم اثار</t>
  </si>
  <si>
    <t xml:space="preserve">المثالون والرسامون</t>
  </si>
  <si>
    <t xml:space="preserve">فني تجهيزات صحفيه</t>
  </si>
  <si>
    <t xml:space="preserve">فني دعايه واعلن</t>
  </si>
  <si>
    <r>
      <rPr>
        <sz val="11"/>
        <color theme="1"/>
        <rFont val="Lohit Devanagari"/>
        <family val="2"/>
      </rPr>
      <t xml:space="preserve">فنان اعلنات تجاريه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تصميم وتنفيذ</t>
    </r>
  </si>
  <si>
    <t xml:space="preserve">مصمم ديكور داخلي</t>
  </si>
  <si>
    <t xml:space="preserve">مصمم منتجات صناعيه وتجاريه</t>
  </si>
  <si>
    <t xml:space="preserve">مصمم وسائل عرض  البضائع</t>
  </si>
  <si>
    <t xml:space="preserve">مصمم لوحات</t>
  </si>
  <si>
    <t xml:space="preserve">اخصائى ديكور</t>
  </si>
  <si>
    <t xml:space="preserve">فنـى ديكور</t>
  </si>
  <si>
    <t xml:space="preserve">منفذ ديكور</t>
  </si>
  <si>
    <t xml:space="preserve">مصــمم</t>
  </si>
  <si>
    <t xml:space="preserve">مصمم أزياء</t>
  </si>
  <si>
    <t xml:space="preserve">مصمم جرافيك</t>
  </si>
  <si>
    <t xml:space="preserve">مشرف مصمم جرافيك</t>
  </si>
  <si>
    <t xml:space="preserve">فنى مونتاج</t>
  </si>
  <si>
    <t xml:space="preserve">مونتــير</t>
  </si>
  <si>
    <t xml:space="preserve">رئيس  قسم التصوير</t>
  </si>
  <si>
    <t xml:space="preserve">رئيس  قسم المونتاج</t>
  </si>
  <si>
    <t xml:space="preserve">مصـــور</t>
  </si>
  <si>
    <r>
      <rPr>
        <sz val="11"/>
        <color theme="1"/>
        <rFont val="Lohit Devanagari"/>
        <family val="2"/>
      </rPr>
      <t xml:space="preserve">مدير تصوير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في السينما</t>
    </r>
  </si>
  <si>
    <t xml:space="preserve">مدير استوديو جرافيك</t>
  </si>
  <si>
    <t xml:space="preserve">مصور صحفي</t>
  </si>
  <si>
    <t xml:space="preserve">مصور سينمائي</t>
  </si>
  <si>
    <t xml:space="preserve">مصور تليفزيوني</t>
  </si>
  <si>
    <t xml:space="preserve">مصوراتى متجول</t>
  </si>
  <si>
    <r>
      <rPr>
        <sz val="11"/>
        <color theme="1"/>
        <rFont val="Lohit Devanagari"/>
        <family val="2"/>
      </rPr>
      <t xml:space="preserve">المصورون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</si>
  <si>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مؤلف</t>
  </si>
  <si>
    <t xml:space="preserve">موءلف موسيقي</t>
  </si>
  <si>
    <t xml:space="preserve">ملحن موسيقي</t>
  </si>
  <si>
    <t xml:space="preserve">موزع موسيقي</t>
  </si>
  <si>
    <t xml:space="preserve">قائد فرقه موسيقيه</t>
  </si>
  <si>
    <t xml:space="preserve">عازف موسيقي</t>
  </si>
  <si>
    <r>
      <rPr>
        <sz val="11"/>
        <color theme="1"/>
        <rFont val="Lohit Devanagari"/>
        <family val="2"/>
      </rPr>
      <t xml:space="preserve">مغني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مطرب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منشد كورال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مداح</t>
    </r>
  </si>
  <si>
    <r>
      <rPr>
        <sz val="11"/>
        <color theme="1"/>
        <rFont val="Lohit Devanagari"/>
        <family val="2"/>
      </rPr>
      <t xml:space="preserve">قائد فرقه صوتيه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كورال</t>
    </r>
  </si>
  <si>
    <t xml:space="preserve">موءلفو الموسيقي والملحنون</t>
  </si>
  <si>
    <t xml:space="preserve">مسجل موسيقى</t>
  </si>
  <si>
    <t xml:space="preserve">فنى صوت</t>
  </si>
  <si>
    <t xml:space="preserve">مساعد صوت</t>
  </si>
  <si>
    <t xml:space="preserve">مساعد كاميرا</t>
  </si>
  <si>
    <t xml:space="preserve">موءلف رقصات</t>
  </si>
  <si>
    <t xml:space="preserve">مسجل صوت</t>
  </si>
  <si>
    <r>
      <rPr>
        <sz val="11"/>
        <color theme="1"/>
        <rFont val="Lohit Devanagari"/>
        <family val="2"/>
      </rPr>
      <t xml:space="preserve">راقص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راقصه</t>
    </r>
  </si>
  <si>
    <t xml:space="preserve">ممثل</t>
  </si>
  <si>
    <t xml:space="preserve">مخرج مسرحي</t>
  </si>
  <si>
    <t xml:space="preserve">مخرج سينمائي</t>
  </si>
  <si>
    <t xml:space="preserve">مخرج راديو وتليفزيون</t>
  </si>
  <si>
    <t xml:space="preserve">مخـرج</t>
  </si>
  <si>
    <r>
      <rPr>
        <sz val="11"/>
        <color theme="1"/>
        <rFont val="Lohit Devanagari"/>
        <family val="2"/>
      </rPr>
      <t xml:space="preserve">الممثلون والمخرجون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</si>
  <si>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مدير انتاج</t>
  </si>
  <si>
    <t xml:space="preserve">مدير توزيع</t>
  </si>
  <si>
    <t xml:space="preserve">مدير قسم الدعاية</t>
  </si>
  <si>
    <t xml:space="preserve">مدير مسرح</t>
  </si>
  <si>
    <r>
      <rPr>
        <sz val="11"/>
        <color theme="1"/>
        <rFont val="Lohit Devanagari"/>
        <family val="2"/>
      </rPr>
      <t xml:space="preserve">منتج مسرحي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وكيل فنانين</t>
    </r>
  </si>
  <si>
    <t xml:space="preserve">منتج سينمائي</t>
  </si>
  <si>
    <t xml:space="preserve">اختصاصى انتاج أفلم</t>
  </si>
  <si>
    <t xml:space="preserve">منتج راديو وتليفزيون</t>
  </si>
  <si>
    <t xml:space="preserve">مساعد انتاج</t>
  </si>
  <si>
    <t xml:space="preserve">معد برامج تلفزيونيه</t>
  </si>
  <si>
    <r>
      <rPr>
        <sz val="11"/>
        <color theme="1"/>
        <rFont val="Lohit Devanagari"/>
        <family val="2"/>
      </rPr>
      <t xml:space="preserve">منتجو العروض  الفنيه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</si>
  <si>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مهرج</t>
  </si>
  <si>
    <t xml:space="preserve">ساحر حاوي</t>
  </si>
  <si>
    <r>
      <rPr>
        <sz val="11"/>
        <color theme="1"/>
        <rFont val="Lohit Devanagari"/>
        <family val="2"/>
      </rPr>
      <t xml:space="preserve">لعب العاب بهلوانيه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اكروبات</t>
    </r>
  </si>
  <si>
    <r>
      <rPr>
        <sz val="11"/>
        <color theme="1"/>
        <rFont val="Lohit Devanagari"/>
        <family val="2"/>
      </rPr>
      <t xml:space="preserve">مدرب حيوانات في السيرك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مروض </t>
    </r>
  </si>
  <si>
    <t xml:space="preserve">مدرب كلب</t>
  </si>
  <si>
    <t xml:space="preserve">لعبو السيرك الخرون</t>
  </si>
  <si>
    <r>
      <rPr>
        <sz val="11"/>
        <color theme="1"/>
        <rFont val="Lohit Devanagari"/>
        <family val="2"/>
      </rPr>
      <t xml:space="preserve">مذيع راديو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مذيع تليفزيون</t>
    </r>
  </si>
  <si>
    <t xml:space="preserve">لعب بالعرائس </t>
  </si>
  <si>
    <t xml:space="preserve">كومبارس </t>
  </si>
  <si>
    <t xml:space="preserve">موءلفو الموسيقي وفنانو العروض </t>
  </si>
  <si>
    <t xml:space="preserve">رياضي محترف</t>
  </si>
  <si>
    <t xml:space="preserve">مدرب العاب رياضيه</t>
  </si>
  <si>
    <t xml:space="preserve">مدرب لياقه بدنيه</t>
  </si>
  <si>
    <t xml:space="preserve">مدرب سباحه</t>
  </si>
  <si>
    <t xml:space="preserve">منقذ بحمام السباحة</t>
  </si>
  <si>
    <t xml:space="preserve">مدرب غطس </t>
  </si>
  <si>
    <t xml:space="preserve">مدرب تنس </t>
  </si>
  <si>
    <t xml:space="preserve">قائد فريق</t>
  </si>
  <si>
    <t xml:space="preserve">قائد حركة</t>
  </si>
  <si>
    <t xml:space="preserve">مدرب خيول</t>
  </si>
  <si>
    <t xml:space="preserve">الرياضيون المحترفون</t>
  </si>
  <si>
    <t xml:space="preserve">امين معمل</t>
  </si>
  <si>
    <t xml:space="preserve">امين مكتبه</t>
  </si>
  <si>
    <t xml:space="preserve">امين محفوظات</t>
  </si>
  <si>
    <t xml:space="preserve">امين متحف</t>
  </si>
  <si>
    <t xml:space="preserve">امناء المكتبات الخرون</t>
  </si>
  <si>
    <t xml:space="preserve">اخصائي في علم الجتماع</t>
  </si>
  <si>
    <t xml:space="preserve">اخصائي في علم النفس </t>
  </si>
  <si>
    <t xml:space="preserve">اخصائي في علم النسان</t>
  </si>
  <si>
    <t xml:space="preserve">اخصائي في علم الجغرافيا</t>
  </si>
  <si>
    <r>
      <rPr>
        <sz val="11"/>
        <color theme="1"/>
        <rFont val="Lohit Devanagari"/>
        <family val="2"/>
      </rPr>
      <t xml:space="preserve">اخصائي في التاريخ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مورخ</t>
    </r>
  </si>
  <si>
    <t xml:space="preserve">اخصائي في العلوم السياسيه</t>
  </si>
  <si>
    <t xml:space="preserve">الخصائيون في علم الجتماع</t>
  </si>
  <si>
    <t xml:space="preserve">اخصائي بحوث بيئيه</t>
  </si>
  <si>
    <r>
      <rPr>
        <sz val="11"/>
        <color theme="1"/>
        <rFont val="Lohit Devanagari"/>
        <family val="2"/>
      </rPr>
      <t xml:space="preserve">باحث اجتماعي 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Lohit Devanagari"/>
        <family val="2"/>
      </rPr>
      <t xml:space="preserve">اخصائي اجتماع</t>
    </r>
  </si>
  <si>
    <t xml:space="preserve">مدير نظم بيئية</t>
  </si>
  <si>
    <t xml:space="preserve">مشرف نظم بيئية</t>
  </si>
  <si>
    <t xml:space="preserve">اخصائى اجتماعى اول</t>
  </si>
  <si>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مشرفه داخليه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رائده حضريه</t>
    </r>
  </si>
  <si>
    <t xml:space="preserve">رائده ريفيه</t>
  </si>
  <si>
    <r>
      <rPr>
        <sz val="11"/>
        <color theme="1"/>
        <rFont val="Lohit Devanagari"/>
        <family val="2"/>
      </rPr>
      <t xml:space="preserve">باحث اقتصادي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محلل اقتصادي</t>
    </r>
  </si>
  <si>
    <t xml:space="preserve">باحث تنمية ادارية</t>
  </si>
  <si>
    <t xml:space="preserve">باحث</t>
  </si>
  <si>
    <t xml:space="preserve">باحث مساعد</t>
  </si>
  <si>
    <t xml:space="preserve">باحث شرعى</t>
  </si>
  <si>
    <t xml:space="preserve">اخصائى خدمات اداريه</t>
  </si>
  <si>
    <t xml:space="preserve">اخصائى حسابات بنكية</t>
  </si>
  <si>
    <t xml:space="preserve">اخصائى خدمة عملء</t>
  </si>
  <si>
    <t xml:space="preserve">اخصائى شئون عقاريه</t>
  </si>
  <si>
    <t xml:space="preserve">اخصائي موارد بشريه</t>
  </si>
  <si>
    <t xml:space="preserve">اخصائى نظم موارد بشريه</t>
  </si>
  <si>
    <t xml:space="preserve">اخصائى علقات عمل</t>
  </si>
  <si>
    <t xml:space="preserve">اخصائى ائتمان</t>
  </si>
  <si>
    <t xml:space="preserve">اخصائي توجيه مهني للطلبه</t>
  </si>
  <si>
    <t xml:space="preserve">اخصائي تحليل وظائف</t>
  </si>
  <si>
    <t xml:space="preserve">اخصائي تنظيم واداره</t>
  </si>
  <si>
    <t xml:space="preserve">اخصائى اجور</t>
  </si>
  <si>
    <t xml:space="preserve">اخصائي تدريب</t>
  </si>
  <si>
    <t xml:space="preserve">مدير تدريب</t>
  </si>
  <si>
    <t xml:space="preserve">مدرب</t>
  </si>
  <si>
    <t xml:space="preserve">مدرب اعمال فنية بمراكز التدريب</t>
  </si>
  <si>
    <t xml:space="preserve">مدرب فنيين</t>
  </si>
  <si>
    <t xml:space="preserve">مشرف تدريب</t>
  </si>
  <si>
    <t xml:space="preserve">اخصائى شئون اداريه</t>
  </si>
  <si>
    <t xml:space="preserve">اخصائى شئون عاملين</t>
  </si>
  <si>
    <t xml:space="preserve">اخصائيو شئون الفراد والتوجيه</t>
  </si>
  <si>
    <t xml:space="preserve">مترجم</t>
  </si>
  <si>
    <t xml:space="preserve">مترجم اشارات للصم</t>
  </si>
  <si>
    <t xml:space="preserve">اخصائي في اللغات</t>
  </si>
  <si>
    <t xml:space="preserve">مترجم فورى لغات</t>
  </si>
  <si>
    <t xml:space="preserve">مترجم ماده مكتوبه</t>
  </si>
  <si>
    <t xml:space="preserve">مترجم احاديث</t>
  </si>
  <si>
    <t xml:space="preserve">اخصائي علقات عامه</t>
  </si>
  <si>
    <t xml:space="preserve">اخصائى تأمين</t>
  </si>
  <si>
    <t xml:space="preserve">اخصائي اقتصاد منزلي</t>
  </si>
  <si>
    <t xml:space="preserve">اخصائي في الثار المصريه القديمه</t>
  </si>
  <si>
    <t xml:space="preserve">اخصائي في الثار السلميه</t>
  </si>
  <si>
    <t xml:space="preserve">اخصائي في الثار القبطيه</t>
  </si>
  <si>
    <t xml:space="preserve">اصحاب المهن الفنيه والعلميه</t>
  </si>
  <si>
    <t xml:space="preserve">رئيس  جمهوريه</t>
  </si>
  <si>
    <t xml:space="preserve">رئيس  وزراء</t>
  </si>
  <si>
    <t xml:space="preserve">رئيس  مجلس  الشعب</t>
  </si>
  <si>
    <t xml:space="preserve">رئيس  مجلس  الشوري</t>
  </si>
  <si>
    <t xml:space="preserve">نائب رئيس  وزراء</t>
  </si>
  <si>
    <t xml:space="preserve">وزير</t>
  </si>
  <si>
    <t xml:space="preserve">وزير دوله</t>
  </si>
  <si>
    <t xml:space="preserve">محافظ</t>
  </si>
  <si>
    <t xml:space="preserve">عضو مجلس  الدوله تشريع</t>
  </si>
  <si>
    <r>
      <rPr>
        <sz val="11"/>
        <color theme="1"/>
        <rFont val="Lohit Devanagari"/>
        <family val="2"/>
      </rPr>
      <t xml:space="preserve">رجال التشريع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</si>
  <si>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رئيس  قطاعات بالقطاع العام</t>
  </si>
  <si>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رئيس  اداره مركزيه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وكيل وزاره</t>
    </r>
  </si>
  <si>
    <t xml:space="preserve">مدير مصلحه او اداره عامه</t>
  </si>
  <si>
    <t xml:space="preserve">مدير مكتبة</t>
  </si>
  <si>
    <r>
      <rPr>
        <sz val="11"/>
        <color theme="1"/>
        <rFont val="Lohit Devanagari"/>
        <family val="2"/>
      </rPr>
      <t xml:space="preserve">امين عام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سكرتير عام</t>
    </r>
  </si>
  <si>
    <t xml:space="preserve">سكرتير ـ تنفيذى</t>
  </si>
  <si>
    <t xml:space="preserve">مدير تنفيذى</t>
  </si>
  <si>
    <t xml:space="preserve">مدير تنفيذى مجسمات معماريه</t>
  </si>
  <si>
    <t xml:space="preserve">نائب مدير تنفيذى</t>
  </si>
  <si>
    <t xml:space="preserve">منسق مكتب المدير التنفيذى</t>
  </si>
  <si>
    <t xml:space="preserve">تنفيذى</t>
  </si>
  <si>
    <t xml:space="preserve">تنفيذى علقات عامة</t>
  </si>
  <si>
    <t xml:space="preserve">تنفيذى اول مراجعة ديون</t>
  </si>
  <si>
    <t xml:space="preserve">مدير طيران</t>
  </si>
  <si>
    <t xml:space="preserve">مخطط برامج</t>
  </si>
  <si>
    <t xml:space="preserve">مدير نظم ومعلومات</t>
  </si>
  <si>
    <t xml:space="preserve">مخطط برامج هندسية</t>
  </si>
  <si>
    <t xml:space="preserve">مدير برامج</t>
  </si>
  <si>
    <t xml:space="preserve">مديـر</t>
  </si>
  <si>
    <t xml:space="preserve">مدير اداره</t>
  </si>
  <si>
    <t xml:space="preserve">مدير شركـة</t>
  </si>
  <si>
    <t xml:space="preserve">مدير مكتب</t>
  </si>
  <si>
    <t xml:space="preserve">مدير مكتب رئيس مجلس الدارة</t>
  </si>
  <si>
    <t xml:space="preserve">مدير مكتب العضو المنتدب</t>
  </si>
  <si>
    <t xml:space="preserve">مدير مكتب رئيس قطاع</t>
  </si>
  <si>
    <t xml:space="preserve">رئيس  مجلس  مدينه</t>
  </si>
  <si>
    <t xml:space="preserve">رئيس  مجلس  قريه</t>
  </si>
  <si>
    <t xml:space="preserve">المديرون الداريون في الحكومه</t>
  </si>
  <si>
    <t xml:space="preserve">مراقب عام</t>
  </si>
  <si>
    <t xml:space="preserve">مراقب جوده</t>
  </si>
  <si>
    <t xml:space="preserve">مراقب مالى</t>
  </si>
  <si>
    <t xml:space="preserve">مراقب ومسئول مكافحة غسيل اموال</t>
  </si>
  <si>
    <t xml:space="preserve">مراقب امن</t>
  </si>
  <si>
    <t xml:space="preserve">مراقب طقم</t>
  </si>
  <si>
    <t xml:space="preserve">فاحص  جودة</t>
  </si>
  <si>
    <t xml:space="preserve">مراقب تكاليف</t>
  </si>
  <si>
    <t xml:space="preserve">مراقب انظمة المبيعات</t>
  </si>
  <si>
    <t xml:space="preserve">مراقب وقت</t>
  </si>
  <si>
    <t xml:space="preserve">مراقــب</t>
  </si>
  <si>
    <t xml:space="preserve">مراقب مخازن</t>
  </si>
  <si>
    <t xml:space="preserve">مراقب عمال</t>
  </si>
  <si>
    <t xml:space="preserve">منسق مخازن</t>
  </si>
  <si>
    <t xml:space="preserve">مراقب الحركة</t>
  </si>
  <si>
    <t xml:space="preserve">مساعد مراقب الحركة</t>
  </si>
  <si>
    <t xml:space="preserve">مراقب سلمه وصحه مهنية</t>
  </si>
  <si>
    <t xml:space="preserve">منسق سلمة</t>
  </si>
  <si>
    <t xml:space="preserve">مراقب عام مدنى</t>
  </si>
  <si>
    <t xml:space="preserve">مراقب داخلى</t>
  </si>
  <si>
    <t xml:space="preserve">كـبير</t>
  </si>
  <si>
    <t xml:space="preserve">كبير محاسبين</t>
  </si>
  <si>
    <t xml:space="preserve">كبير مراجعين</t>
  </si>
  <si>
    <t xml:space="preserve">كبير محامين</t>
  </si>
  <si>
    <t xml:space="preserve">كبير اخصائيين</t>
  </si>
  <si>
    <t xml:space="preserve">كبير اخصائيين مشتريات</t>
  </si>
  <si>
    <t xml:space="preserve">كبير اخصائيين متابعة</t>
  </si>
  <si>
    <t xml:space="preserve">كبير باحثين</t>
  </si>
  <si>
    <t xml:space="preserve">كبير كتاب</t>
  </si>
  <si>
    <t xml:space="preserve">كبير مستشارين</t>
  </si>
  <si>
    <t xml:space="preserve">كبير اداريين</t>
  </si>
  <si>
    <t xml:space="preserve">كبير فنيين</t>
  </si>
  <si>
    <t xml:space="preserve">كبير فنيين كهرباء</t>
  </si>
  <si>
    <t xml:space="preserve">كبير فنيين ميكانيكا</t>
  </si>
  <si>
    <t xml:space="preserve">كبير مرشدين بحريين</t>
  </si>
  <si>
    <t xml:space="preserve">كبير فنيين معامل</t>
  </si>
  <si>
    <t xml:space="preserve">كبير فنيين انتاج</t>
  </si>
  <si>
    <t xml:space="preserve">كبير فنيين تعبئة</t>
  </si>
  <si>
    <t xml:space="preserve">كبير مشرفين فنيين</t>
  </si>
  <si>
    <t xml:space="preserve">محقق امنى</t>
  </si>
  <si>
    <t xml:space="preserve">مستشار</t>
  </si>
  <si>
    <t xml:space="preserve">مستشار خدمات فنيه</t>
  </si>
  <si>
    <t xml:space="preserve">مستشار ادارى</t>
  </si>
  <si>
    <t xml:space="preserve">مستشار هندسى</t>
  </si>
  <si>
    <t xml:space="preserve">مستشار شرعى</t>
  </si>
  <si>
    <t xml:space="preserve">استشارى اول موارد بشرية</t>
  </si>
  <si>
    <t xml:space="preserve">مستشار اعلمى وثقافى</t>
  </si>
  <si>
    <t xml:space="preserve">استشارى مبيعات</t>
  </si>
  <si>
    <t xml:space="preserve">مستشار التدريب والرشاد السرى</t>
  </si>
  <si>
    <t xml:space="preserve">استشارى ضرائب</t>
  </si>
  <si>
    <t xml:space="preserve">استشارى تكنولوجيا المعلومات</t>
  </si>
  <si>
    <t xml:space="preserve">استشارى رقابة</t>
  </si>
  <si>
    <t xml:space="preserve">خبيـر</t>
  </si>
  <si>
    <t xml:space="preserve">خبير اقتصادى</t>
  </si>
  <si>
    <t xml:space="preserve">خبير تجارة دولية</t>
  </si>
  <si>
    <t xml:space="preserve">خبير دراسات بيئية</t>
  </si>
  <si>
    <t xml:space="preserve">خبير تطوير منتج</t>
  </si>
  <si>
    <t xml:space="preserve">مدير تطوير اعمال</t>
  </si>
  <si>
    <t xml:space="preserve">مدير قسم التطوير</t>
  </si>
  <si>
    <t xml:space="preserve">اخصائى ابحاث وتطوير</t>
  </si>
  <si>
    <t xml:space="preserve">اخصائى تطوير تكنولوجى</t>
  </si>
  <si>
    <t xml:space="preserve">فنى رقابة وجودة</t>
  </si>
  <si>
    <t xml:space="preserve">مفتـش </t>
  </si>
  <si>
    <t xml:space="preserve">مفتش انتاج</t>
  </si>
  <si>
    <t xml:space="preserve">رئيــس </t>
  </si>
  <si>
    <t xml:space="preserve">رئيس  عمليات</t>
  </si>
  <si>
    <t xml:space="preserve">رئيس فريق</t>
  </si>
  <si>
    <t xml:space="preserve">رئيس  اداريين</t>
  </si>
  <si>
    <t xml:space="preserve">رئيس  الخدمات</t>
  </si>
  <si>
    <t xml:space="preserve">نائب رئيس  الخدمات</t>
  </si>
  <si>
    <t xml:space="preserve">رئيس  طقم</t>
  </si>
  <si>
    <t xml:space="preserve">رئيس  الجامعة</t>
  </si>
  <si>
    <t xml:space="preserve">رئيس  مجلس  المناء</t>
  </si>
  <si>
    <t xml:space="preserve">عميد كلية</t>
  </si>
  <si>
    <t xml:space="preserve">عميد معهد</t>
  </si>
  <si>
    <t xml:space="preserve">مساعد مدرس بالجامعة</t>
  </si>
  <si>
    <t xml:space="preserve">مساعد عميد</t>
  </si>
  <si>
    <t xml:space="preserve">عضو مجلس امناء</t>
  </si>
  <si>
    <t xml:space="preserve">رئيس  مجلس  اداره موءسسه عامه</t>
  </si>
  <si>
    <t xml:space="preserve">رئيس  مجلس  اداره هيئه عامه</t>
  </si>
  <si>
    <t xml:space="preserve">رئيس  مجلس  اداره شركه</t>
  </si>
  <si>
    <t xml:space="preserve">مدير عام موءسسه عامه</t>
  </si>
  <si>
    <t xml:space="preserve">مدير عام هيئه عامه</t>
  </si>
  <si>
    <t xml:space="preserve">مدير عام القطاع التجارى</t>
  </si>
  <si>
    <t xml:space="preserve">مدير عام القطاع الدارى</t>
  </si>
  <si>
    <t xml:space="preserve">نائب مدير عام الصيانة</t>
  </si>
  <si>
    <t xml:space="preserve">مدير عام مبيعات</t>
  </si>
  <si>
    <t xml:space="preserve">مدير عام شركه او ادارة</t>
  </si>
  <si>
    <t xml:space="preserve">مدير عام الشئون الدارية</t>
  </si>
  <si>
    <t xml:space="preserve">مدير عام الشئون المالية</t>
  </si>
  <si>
    <t xml:space="preserve">مدير عام تفتيش </t>
  </si>
  <si>
    <t xml:space="preserve">مدير عام الشئون القانونية</t>
  </si>
  <si>
    <t xml:space="preserve">مدير عام الدارة الهندسية</t>
  </si>
  <si>
    <t xml:space="preserve">مدير عام تكنولوجيا النظم والمعلومات</t>
  </si>
  <si>
    <t xml:space="preserve">مدير عام ادارة الستكشاف</t>
  </si>
  <si>
    <t xml:space="preserve">مدير عام المراقبه والرقابه الداخلية</t>
  </si>
  <si>
    <t xml:space="preserve">مديرعام المراجعه والرقابة الداخلية</t>
  </si>
  <si>
    <t xml:space="preserve">مدير عام التكاليف والموازنة</t>
  </si>
  <si>
    <t xml:space="preserve">مدير عام الشئون المالية والدارية</t>
  </si>
  <si>
    <t xml:space="preserve">مدير عام الشىون المالية والموارد البشرية</t>
  </si>
  <si>
    <t xml:space="preserve">مدير عام التخطيط ومراقبة المنتجات</t>
  </si>
  <si>
    <t xml:space="preserve">مدير عام الشئون الفنية والبحرية</t>
  </si>
  <si>
    <t xml:space="preserve">مدير عام الشئون التجارية</t>
  </si>
  <si>
    <t xml:space="preserve">مدير عام</t>
  </si>
  <si>
    <t xml:space="preserve">مدير عام المن</t>
  </si>
  <si>
    <t xml:space="preserve">مدير عام المخازن</t>
  </si>
  <si>
    <t xml:space="preserve">مدير عام التأمينات</t>
  </si>
  <si>
    <t xml:space="preserve">مدير عام الجودة</t>
  </si>
  <si>
    <t xml:space="preserve">نائب مدير عام</t>
  </si>
  <si>
    <t xml:space="preserve">مدير عام مساعد</t>
  </si>
  <si>
    <t xml:space="preserve">مدير عام مول</t>
  </si>
  <si>
    <t xml:space="preserve">مدير عام عمليات</t>
  </si>
  <si>
    <t xml:space="preserve">مساعد العضو المنتدب</t>
  </si>
  <si>
    <t xml:space="preserve">مدير عام مكتب العضو المنتدب</t>
  </si>
  <si>
    <t xml:space="preserve">عضو مجلس اداره منتدب</t>
  </si>
  <si>
    <t xml:space="preserve">عضو مجلس الدارة والمدير العام</t>
  </si>
  <si>
    <t xml:space="preserve">عضو مجلس ادارة</t>
  </si>
  <si>
    <t xml:space="preserve">رئيس قطاعات</t>
  </si>
  <si>
    <t xml:space="preserve">رئيس قطاعات التنفيذ</t>
  </si>
  <si>
    <t xml:space="preserve">رئيس قطاعات المالية والقانونية</t>
  </si>
  <si>
    <t xml:space="preserve">رئيس  قطاع</t>
  </si>
  <si>
    <t xml:space="preserve">رئيس قطاع الشئون القانونية</t>
  </si>
  <si>
    <t xml:space="preserve">رئيس القطاع الدارى</t>
  </si>
  <si>
    <t xml:space="preserve">رئيس  قطاع الشئون المالية</t>
  </si>
  <si>
    <t xml:space="preserve">رئيس  القطاع التجارى</t>
  </si>
  <si>
    <t xml:space="preserve">رئيس  قطاع مالى وادارى</t>
  </si>
  <si>
    <t xml:space="preserve">رئيس  قطاع التسويق</t>
  </si>
  <si>
    <t xml:space="preserve">رئيس قطاع المشتريات</t>
  </si>
  <si>
    <t xml:space="preserve">رئيس  قطاع العطاءات والمكاتب الفنية</t>
  </si>
  <si>
    <t xml:space="preserve">رئيس قطاع خدمات مابعد البيع</t>
  </si>
  <si>
    <t xml:space="preserve">رئيس  قطاع العلقات العامة والحكومية وغير الحكومية</t>
  </si>
  <si>
    <t xml:space="preserve">رئيس  قطاع العمليات</t>
  </si>
  <si>
    <t xml:space="preserve">رئيس  قطاع الضرائب</t>
  </si>
  <si>
    <t xml:space="preserve">رئيس  قطاع المخازن</t>
  </si>
  <si>
    <t xml:space="preserve">رئيس قطاع الصناعة</t>
  </si>
  <si>
    <t xml:space="preserve">رئيس قطاع المعامل</t>
  </si>
  <si>
    <t xml:space="preserve">رئيس قطاع المصانع والمعدات</t>
  </si>
  <si>
    <t xml:space="preserve">رئيس قطاع الموارد البشرية</t>
  </si>
  <si>
    <t xml:space="preserve">رئيس قطاع التخطيط ومراقبة النتاج</t>
  </si>
  <si>
    <t xml:space="preserve">رئيس قطاع النتاج</t>
  </si>
  <si>
    <t xml:space="preserve">رئيس  قطاع التدريب وتنمية الداء</t>
  </si>
  <si>
    <t xml:space="preserve">مشرف قطاع التقييم</t>
  </si>
  <si>
    <t xml:space="preserve">نائـب</t>
  </si>
  <si>
    <t xml:space="preserve">نائب رئيس  قطاع</t>
  </si>
  <si>
    <t xml:space="preserve">نائب رئيس شركة</t>
  </si>
  <si>
    <t xml:space="preserve">رئيس قطاع تكنولوجيا المعلومات والتصالت</t>
  </si>
  <si>
    <t xml:space="preserve">نائب رئيس امناء</t>
  </si>
  <si>
    <t xml:space="preserve">نائب رئيس  الجامعة</t>
  </si>
  <si>
    <t xml:space="preserve">نائب رئيس  مجلس  اداره</t>
  </si>
  <si>
    <t xml:space="preserve">نائب مدير مصنع</t>
  </si>
  <si>
    <t xml:space="preserve">نائب مدير شركة</t>
  </si>
  <si>
    <t xml:space="preserve">نائب مدير محطة</t>
  </si>
  <si>
    <t xml:space="preserve">نائب مدير السلمة والجودة</t>
  </si>
  <si>
    <t xml:space="preserve">نائب مدير مبيعات</t>
  </si>
  <si>
    <t xml:space="preserve">نائب رئيس مجلس ادارة للشئون المالية والداريه</t>
  </si>
  <si>
    <t xml:space="preserve">مدير منطقة</t>
  </si>
  <si>
    <t xml:space="preserve">نائب رئيس  طقم</t>
  </si>
  <si>
    <t xml:space="preserve">مدير منطقة طبية</t>
  </si>
  <si>
    <t xml:space="preserve">مدير تشغيل</t>
  </si>
  <si>
    <t xml:space="preserve">مدير تشغيل معدات</t>
  </si>
  <si>
    <t xml:space="preserve">مدير افران خزف وصينى</t>
  </si>
  <si>
    <t xml:space="preserve">مسئول اول مشتريات</t>
  </si>
  <si>
    <t xml:space="preserve">مدير صيانه</t>
  </si>
  <si>
    <t xml:space="preserve">مساعد صيانة</t>
  </si>
  <si>
    <t xml:space="preserve">مدير الصيانة الكهربائية</t>
  </si>
  <si>
    <t xml:space="preserve">مدير مبيعات</t>
  </si>
  <si>
    <t xml:space="preserve">مدير مشتريات ولوجستيك</t>
  </si>
  <si>
    <t xml:space="preserve">مدير علقات عامه</t>
  </si>
  <si>
    <t xml:space="preserve">مدير علقات</t>
  </si>
  <si>
    <t xml:space="preserve">مسئول علقات عامة</t>
  </si>
  <si>
    <t xml:space="preserve">مشرف علقات عامة</t>
  </si>
  <si>
    <t xml:space="preserve">مدير التصال والعلم</t>
  </si>
  <si>
    <t xml:space="preserve">مديرقسم الضيافة</t>
  </si>
  <si>
    <t xml:space="preserve">رئيس قسم اتيكيت</t>
  </si>
  <si>
    <t xml:space="preserve">رئيس قسم التصميمات والدعاية</t>
  </si>
  <si>
    <t xml:space="preserve">مدير ادارة العلقات الخارجية</t>
  </si>
  <si>
    <t xml:space="preserve">مدير ادارة علقات المساهمين والبورصة</t>
  </si>
  <si>
    <t xml:space="preserve">مدير تسويق الكترونى</t>
  </si>
  <si>
    <t xml:space="preserve">مدير ادارة التسويق</t>
  </si>
  <si>
    <t xml:space="preserve">رئيس قسم تسويق وحمايه الصناف النباتيه</t>
  </si>
  <si>
    <t xml:space="preserve">رئيس قسم التسويق والحجز</t>
  </si>
  <si>
    <t xml:space="preserve">رئيس قسم الدعم الفنى</t>
  </si>
  <si>
    <t xml:space="preserve">مدير ادارة مشتريات</t>
  </si>
  <si>
    <t xml:space="preserve">رئيس قسم المشتريات المحلية</t>
  </si>
  <si>
    <t xml:space="preserve">رئيس قسم مشتريات</t>
  </si>
  <si>
    <t xml:space="preserve">مساعد مدير مشتريات</t>
  </si>
  <si>
    <t xml:space="preserve">رئيس قسم الموارد البشريه</t>
  </si>
  <si>
    <t xml:space="preserve">رئيس قسم العلقات</t>
  </si>
  <si>
    <t xml:space="preserve">رئيس قسم العلقات الحكومية والغير حكومية</t>
  </si>
  <si>
    <t xml:space="preserve">رئيس قسم التحقيقات</t>
  </si>
  <si>
    <t xml:space="preserve">رئيس قسم لوجيستيك</t>
  </si>
  <si>
    <t xml:space="preserve">رئيس قسم التصالت وشبكات المعلومات</t>
  </si>
  <si>
    <t xml:space="preserve">رئيس  قسم التصالت</t>
  </si>
  <si>
    <t xml:space="preserve">رئيس قسم شبكات كمبيوتر</t>
  </si>
  <si>
    <t xml:space="preserve">رئيس قسم التعينات</t>
  </si>
  <si>
    <t xml:space="preserve">مدير ادارة مخازن</t>
  </si>
  <si>
    <t xml:space="preserve">نائب مدير مخازن</t>
  </si>
  <si>
    <t xml:space="preserve">مدير مخزن</t>
  </si>
  <si>
    <t xml:space="preserve">مدير السلمة والجودة</t>
  </si>
  <si>
    <t xml:space="preserve">مدير ادارة العقود</t>
  </si>
  <si>
    <t xml:space="preserve">مدير ادارة الخريجين</t>
  </si>
  <si>
    <t xml:space="preserve">مدير ادارة رعاية الطلب</t>
  </si>
  <si>
    <t xml:space="preserve">مدير ادارة  الستعلمات والتحقيقات</t>
  </si>
  <si>
    <t xml:space="preserve">مدير ادارة التصدير</t>
  </si>
  <si>
    <t xml:space="preserve">مدير ادارة المخاطر</t>
  </si>
  <si>
    <t xml:space="preserve">مدير ادارة السواق الخارجية</t>
  </si>
  <si>
    <t xml:space="preserve">مدير ادارة التداول اللكترونى</t>
  </si>
  <si>
    <t xml:space="preserve">مدير ادارة تكنولوجيا المعلومات</t>
  </si>
  <si>
    <t xml:space="preserve">مدير ادارة العلقات العامة</t>
  </si>
  <si>
    <t xml:space="preserve">مدير ادارة العلقات الحكومية</t>
  </si>
  <si>
    <t xml:space="preserve">مدير ادارة الدعاية</t>
  </si>
  <si>
    <t xml:space="preserve">مدير ادارة الجور والمزايا</t>
  </si>
  <si>
    <t xml:space="preserve">مدير ادارة خدمة مابعد البيع</t>
  </si>
  <si>
    <t xml:space="preserve">مدير ادارة الموازنة والضرائب</t>
  </si>
  <si>
    <t xml:space="preserve">مدير ادارة الرقابه علي الجوده</t>
  </si>
  <si>
    <t xml:space="preserve">مدير ادارة الميكروبيولوجى</t>
  </si>
  <si>
    <t xml:space="preserve">مدير ادارة البيئة</t>
  </si>
  <si>
    <t xml:space="preserve">مدير ادارة التنظيم واساليب العمل</t>
  </si>
  <si>
    <t xml:space="preserve">مدير ادارة تشغيل</t>
  </si>
  <si>
    <t xml:space="preserve">مدير ادارة السكرتارية</t>
  </si>
  <si>
    <t xml:space="preserve">مشرف ميكروبيولوجى</t>
  </si>
  <si>
    <t xml:space="preserve">مدير ادارة الحفر</t>
  </si>
  <si>
    <t xml:space="preserve">مدير وحده في منشاءه ماليه</t>
  </si>
  <si>
    <t xml:space="preserve">مدير تمويل</t>
  </si>
  <si>
    <t xml:space="preserve">مدير استثمار</t>
  </si>
  <si>
    <t xml:space="preserve">مدير ائتمان</t>
  </si>
  <si>
    <t xml:space="preserve">مدير تصدير</t>
  </si>
  <si>
    <t xml:space="preserve">مدير موازنة</t>
  </si>
  <si>
    <t xml:space="preserve">مدير امداد</t>
  </si>
  <si>
    <t xml:space="preserve">مدير جودة</t>
  </si>
  <si>
    <t xml:space="preserve">مدير دعم فنى</t>
  </si>
  <si>
    <t xml:space="preserve">مدير تحصيل</t>
  </si>
  <si>
    <t xml:space="preserve">مدير الجور والتأمينات</t>
  </si>
  <si>
    <t xml:space="preserve">مدير ادارة الستيراد والتصدير</t>
  </si>
  <si>
    <t xml:space="preserve">اخصائى استيراد وتصدير</t>
  </si>
  <si>
    <t xml:space="preserve">مدير اقليمى</t>
  </si>
  <si>
    <t xml:space="preserve">مدير اقليمى للموارد البشرية</t>
  </si>
  <si>
    <t xml:space="preserve">مدير مصنــع</t>
  </si>
  <si>
    <t xml:space="preserve">مدير معرض </t>
  </si>
  <si>
    <t xml:space="preserve">مدير محطة</t>
  </si>
  <si>
    <t xml:space="preserve">مدير التوظيف</t>
  </si>
  <si>
    <t xml:space="preserve">مدير تطبيقات</t>
  </si>
  <si>
    <t xml:space="preserve">مدير وحده</t>
  </si>
  <si>
    <t xml:space="preserve">مدير فرع</t>
  </si>
  <si>
    <t xml:space="preserve">مدير وحده في منشاءه تامين</t>
  </si>
  <si>
    <t xml:space="preserve">مدير وحده في اعمال النقل</t>
  </si>
  <si>
    <t xml:space="preserve">مدير وحده في اعمال المواصلت</t>
  </si>
  <si>
    <t xml:space="preserve">مدير وحده في اعمال التخزين</t>
  </si>
  <si>
    <t xml:space="preserve">مدير ادارة المداد والتموين</t>
  </si>
  <si>
    <t xml:space="preserve">مدير ادارة شئون قانونية</t>
  </si>
  <si>
    <t xml:space="preserve">مدير ادارة القضايا</t>
  </si>
  <si>
    <t xml:space="preserve">اخصائى شئون قانونية</t>
  </si>
  <si>
    <t xml:space="preserve">نائب مدير الدارة القانونية</t>
  </si>
  <si>
    <t xml:space="preserve">مدير ادارة الشئون الداريه</t>
  </si>
  <si>
    <t xml:space="preserve">مدير ادارة شئون العاملين</t>
  </si>
  <si>
    <t xml:space="preserve">مدير الدارة الهندسية</t>
  </si>
  <si>
    <t xml:space="preserve">مدير ادارة الشئون الداريه والمنشآت</t>
  </si>
  <si>
    <t xml:space="preserve">مدير امن</t>
  </si>
  <si>
    <t xml:space="preserve">مدير امن صناعى</t>
  </si>
  <si>
    <t xml:space="preserve">نائب أمن</t>
  </si>
  <si>
    <t xml:space="preserve">مدير امن بشركة</t>
  </si>
  <si>
    <t xml:space="preserve">خبير أمن</t>
  </si>
  <si>
    <t xml:space="preserve">مدير قسم الكاميرات والمراقبة الداخلية</t>
  </si>
  <si>
    <t xml:space="preserve">مدير ادارة البحاث والتطوير</t>
  </si>
  <si>
    <t xml:space="preserve">مدير ادارة تطوير العمال</t>
  </si>
  <si>
    <t xml:space="preserve">مدير اول ادارة تطوير وتفعيل المنتجات</t>
  </si>
  <si>
    <t xml:space="preserve">مدير ادارة المبيعات</t>
  </si>
  <si>
    <t xml:space="preserve">مدير ادارة مراقبة انظمة المبيعات</t>
  </si>
  <si>
    <t xml:space="preserve">مدير ادارة هندسة التصنيع</t>
  </si>
  <si>
    <t xml:space="preserve">نائب مدير ادارة التخطيط</t>
  </si>
  <si>
    <t xml:space="preserve">مدير ادارة حسابات الضرائب</t>
  </si>
  <si>
    <t xml:space="preserve">مدير ادارة التكاليف</t>
  </si>
  <si>
    <t xml:space="preserve">مدير ادارة مركز صيانة الشبكة</t>
  </si>
  <si>
    <t xml:space="preserve">مدير ادارة الحسابات والتكاليف</t>
  </si>
  <si>
    <t xml:space="preserve">مدير مركز حاسب آلي</t>
  </si>
  <si>
    <t xml:space="preserve">مدير ادارة البنية التحتية المعلوماتية</t>
  </si>
  <si>
    <t xml:space="preserve">مدير ادارة التدريب بالحاسب اللى</t>
  </si>
  <si>
    <t xml:space="preserve">مدير ادارة التطبيقات بالحاسب اللى</t>
  </si>
  <si>
    <t xml:space="preserve">مدير تكنولوجيا المعلومات</t>
  </si>
  <si>
    <t xml:space="preserve">مدير ادارة الحاسب اللى</t>
  </si>
  <si>
    <t xml:space="preserve">مشرف تكنولوجيا المعلومات</t>
  </si>
  <si>
    <t xml:space="preserve">مدير القطاع الفنى التجارى</t>
  </si>
  <si>
    <t xml:space="preserve">مدير القطاع التجارى القليمى</t>
  </si>
  <si>
    <t xml:space="preserve">مدير قطاع مالى</t>
  </si>
  <si>
    <t xml:space="preserve">مدير قطاع ادارى</t>
  </si>
  <si>
    <t xml:space="preserve">مدير قطاع التدريب والتنمية</t>
  </si>
  <si>
    <t xml:space="preserve">مدير قطاع</t>
  </si>
  <si>
    <t xml:space="preserve">مدير قطاع الشئون القانونية</t>
  </si>
  <si>
    <t xml:space="preserve">مدير عام الموارد البشرية</t>
  </si>
  <si>
    <t xml:space="preserve">مدير عام العلقات العامة</t>
  </si>
  <si>
    <t xml:space="preserve">مدير ادارة الموارد البشرية</t>
  </si>
  <si>
    <t xml:space="preserve">مدير ادارة الطب الرياضى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</si>
  <si>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Lohit Devanagari"/>
        <family val="2"/>
      </rPr>
      <t xml:space="preserve">مدير شئون عاملين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مدير موارد بشرية</t>
    </r>
  </si>
  <si>
    <t xml:space="preserve">مشرف موارد بشرية</t>
  </si>
  <si>
    <t xml:space="preserve">مسئول موارد بشرية</t>
  </si>
  <si>
    <t xml:space="preserve">نائب مدير ادارة شئون العاملين</t>
  </si>
  <si>
    <t xml:space="preserve">نائب مدير ادارة الموارد البشريه</t>
  </si>
  <si>
    <t xml:space="preserve">نائب مدير ادارة المشتريات</t>
  </si>
  <si>
    <t xml:space="preserve">مشرف علقات عمل</t>
  </si>
  <si>
    <t xml:space="preserve">اخصائى تطوير عمليات</t>
  </si>
  <si>
    <t xml:space="preserve">منفذ عمليات</t>
  </si>
  <si>
    <t xml:space="preserve">محلل عمليات</t>
  </si>
  <si>
    <t xml:space="preserve">منسق عمليات</t>
  </si>
  <si>
    <t xml:space="preserve">مشرف عمليات</t>
  </si>
  <si>
    <t xml:space="preserve">محلل مالى</t>
  </si>
  <si>
    <t xml:space="preserve">مدير مالي</t>
  </si>
  <si>
    <t xml:space="preserve">مدير مالى وادارى</t>
  </si>
  <si>
    <t xml:space="preserve">مدير ادارى</t>
  </si>
  <si>
    <t xml:space="preserve">اخصائى موازنة</t>
  </si>
  <si>
    <t xml:space="preserve">مسئول اول حسابات عملء</t>
  </si>
  <si>
    <t xml:space="preserve">مسئول حسابات عملء</t>
  </si>
  <si>
    <t xml:space="preserve">مسئول اول خدمة عملء</t>
  </si>
  <si>
    <t xml:space="preserve">مدير حساب عملء</t>
  </si>
  <si>
    <t xml:space="preserve">مدير حسابات</t>
  </si>
  <si>
    <t xml:space="preserve">منسق مالى</t>
  </si>
  <si>
    <t xml:space="preserve">مدير مراجعه</t>
  </si>
  <si>
    <t xml:space="preserve">نائب مدير مراجعه</t>
  </si>
  <si>
    <t xml:space="preserve">مدير الشئون الفنية</t>
  </si>
  <si>
    <t xml:space="preserve">مدير البنية التحتية</t>
  </si>
  <si>
    <t xml:space="preserve">مدير تخطيط ومتابعه</t>
  </si>
  <si>
    <t xml:space="preserve">مساعد مدير تخطيط</t>
  </si>
  <si>
    <t xml:space="preserve">مساعد مدير محطة</t>
  </si>
  <si>
    <t xml:space="preserve">اخصائى متابعة</t>
  </si>
  <si>
    <t xml:space="preserve">مدير تجاري عدا منشات تجاره الجمله</t>
  </si>
  <si>
    <t xml:space="preserve">مدير أو مشرف اداري</t>
  </si>
  <si>
    <t xml:space="preserve">نائب مدير ادارة</t>
  </si>
  <si>
    <t xml:space="preserve">مسـاعد</t>
  </si>
  <si>
    <t xml:space="preserve">مساعد مدير</t>
  </si>
  <si>
    <t xml:space="preserve">مساعد مدير عام</t>
  </si>
  <si>
    <t xml:space="preserve">مساعد مدير قسم الكاميرات والمراقبة الداخلية</t>
  </si>
  <si>
    <t xml:space="preserve">مساعد رئيس شركة</t>
  </si>
  <si>
    <t xml:space="preserve">مساعد مدير حسابات</t>
  </si>
  <si>
    <t xml:space="preserve">مساعد مدير شئون العاملين</t>
  </si>
  <si>
    <t xml:space="preserve">مساعد موارد بشرية</t>
  </si>
  <si>
    <t xml:space="preserve">مساعد تنفيذى</t>
  </si>
  <si>
    <t xml:space="preserve">مساعد امن</t>
  </si>
  <si>
    <t xml:space="preserve">منسـق</t>
  </si>
  <si>
    <t xml:space="preserve">منسق علقات خارجية</t>
  </si>
  <si>
    <t xml:space="preserve">منسق شئون عاملين</t>
  </si>
  <si>
    <t xml:space="preserve">منسق مواد وخامات انتاج</t>
  </si>
  <si>
    <t xml:space="preserve">منسق معارض </t>
  </si>
  <si>
    <t xml:space="preserve">منسق نظم معلومات</t>
  </si>
  <si>
    <t xml:space="preserve">منسق امن صناعى</t>
  </si>
  <si>
    <t xml:space="preserve">منسق علقات امنيه</t>
  </si>
  <si>
    <t xml:space="preserve">منسق الوثائق والمستندات</t>
  </si>
  <si>
    <t xml:space="preserve">منسق جمارك ومناطق حرة</t>
  </si>
  <si>
    <t xml:space="preserve">ممثل خدمة العملء</t>
  </si>
  <si>
    <t xml:space="preserve">فنى خدمة عملء</t>
  </si>
  <si>
    <t xml:space="preserve">فنى متابعة عملء</t>
  </si>
  <si>
    <t xml:space="preserve">مدير فنى</t>
  </si>
  <si>
    <t xml:space="preserve">مدير بحوث ودراسات التسويق</t>
  </si>
  <si>
    <t xml:space="preserve">مشرف خدمة عملء</t>
  </si>
  <si>
    <t xml:space="preserve">موظف خدمة عملء</t>
  </si>
  <si>
    <t xml:space="preserve">مامور خدمة عملء</t>
  </si>
  <si>
    <t xml:space="preserve">مدير معامـل</t>
  </si>
  <si>
    <t xml:space="preserve">مدير خدمة عملء</t>
  </si>
  <si>
    <t xml:space="preserve">مدير مشروعات</t>
  </si>
  <si>
    <t xml:space="preserve">مساعد مدير مشروعات</t>
  </si>
  <si>
    <t xml:space="preserve">مدير عمليات</t>
  </si>
  <si>
    <t xml:space="preserve">مدير المشروعات النشائيه</t>
  </si>
  <si>
    <t xml:space="preserve">مهندس مشروعات</t>
  </si>
  <si>
    <t xml:space="preserve">منسق مشروعات</t>
  </si>
  <si>
    <t xml:space="preserve">مدير الشئون الهندسية</t>
  </si>
  <si>
    <t xml:space="preserve">مدير علقات صناعيه</t>
  </si>
  <si>
    <t xml:space="preserve">مستشار تجاري</t>
  </si>
  <si>
    <t xml:space="preserve">ممثل تجاري</t>
  </si>
  <si>
    <t xml:space="preserve">مستشار اقتصادى</t>
  </si>
  <si>
    <t xml:space="preserve">مستشار مالى</t>
  </si>
  <si>
    <t xml:space="preserve">مستشار تسويق واعلم</t>
  </si>
  <si>
    <t xml:space="preserve">مستشار نظم ومعلومات</t>
  </si>
  <si>
    <t xml:space="preserve">استشارى نظم معلومات</t>
  </si>
  <si>
    <t xml:space="preserve">محلل سياسى</t>
  </si>
  <si>
    <t xml:space="preserve">محلل تسويق</t>
  </si>
  <si>
    <t xml:space="preserve">محلل مبيعات</t>
  </si>
  <si>
    <t xml:space="preserve">منسق مبيعات</t>
  </si>
  <si>
    <t xml:space="preserve">محلل اوراق مالية</t>
  </si>
  <si>
    <r>
      <rPr>
        <sz val="11"/>
        <color theme="1"/>
        <rFont val="Lohit Devanagari"/>
        <family val="2"/>
      </rPr>
      <t xml:space="preserve">مقاول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مدير اعمال مقاولت</t>
    </r>
  </si>
  <si>
    <t xml:space="preserve">مساح حر</t>
  </si>
  <si>
    <t xml:space="preserve">مدير املك عقاريه اراضي او مباني</t>
  </si>
  <si>
    <t xml:space="preserve">مديرو العمال الخرون</t>
  </si>
  <si>
    <t xml:space="preserve">مساعد رئيس الخدمات</t>
  </si>
  <si>
    <t xml:space="preserve">مساعد رئيس  طقم</t>
  </si>
  <si>
    <t xml:space="preserve">مساعد رئيس  العمال</t>
  </si>
  <si>
    <t xml:space="preserve">مساعد رئيس  الورشة</t>
  </si>
  <si>
    <t xml:space="preserve">مساعد رئيس  سائقين</t>
  </si>
  <si>
    <t xml:space="preserve">رئيس  قسم حجز تذاكر</t>
  </si>
  <si>
    <t xml:space="preserve">رئيس  وحدة</t>
  </si>
  <si>
    <t xml:space="preserve">رئيس  وحده كتابيه</t>
  </si>
  <si>
    <t xml:space="preserve">رئيس  ورديه</t>
  </si>
  <si>
    <t xml:space="preserve">مهندس  وردية</t>
  </si>
  <si>
    <t xml:space="preserve">رئيس غرفة سيطرة</t>
  </si>
  <si>
    <t xml:space="preserve">نائب رئيس غرفة سيطرة</t>
  </si>
  <si>
    <t xml:space="preserve">رئيس  سائقين</t>
  </si>
  <si>
    <t xml:space="preserve">رئيس  حرفة</t>
  </si>
  <si>
    <t xml:space="preserve">مسـئول</t>
  </si>
  <si>
    <t xml:space="preserve">مسئول ادارة السيارات</t>
  </si>
  <si>
    <t xml:space="preserve">مسئول حركة ونقل</t>
  </si>
  <si>
    <t xml:space="preserve">مسئول بيع</t>
  </si>
  <si>
    <t xml:space="preserve">مسئول أمن معلومات</t>
  </si>
  <si>
    <t xml:space="preserve">مسئول اساسى تطبيقات</t>
  </si>
  <si>
    <t xml:space="preserve">مسئول تركيب شبكات</t>
  </si>
  <si>
    <t xml:space="preserve">مسئول مشتريات</t>
  </si>
  <si>
    <t xml:space="preserve">مسئول خزينة</t>
  </si>
  <si>
    <t xml:space="preserve">مسؤل شحن</t>
  </si>
  <si>
    <t xml:space="preserve">مسؤل مكافحة غسيل اموال</t>
  </si>
  <si>
    <t xml:space="preserve">مسئول شئون طلبه</t>
  </si>
  <si>
    <t xml:space="preserve">مسئول نظم ومعلومات</t>
  </si>
  <si>
    <t xml:space="preserve">مسئول شبكات ونظم المعلومات</t>
  </si>
  <si>
    <t xml:space="preserve">مسئول قواعد بيانات</t>
  </si>
  <si>
    <t xml:space="preserve">مسئول تسويق</t>
  </si>
  <si>
    <t xml:space="preserve">مسئول تخطيط ومتابعه</t>
  </si>
  <si>
    <t xml:space="preserve">مسئول مبيعات</t>
  </si>
  <si>
    <t xml:space="preserve">مسئول تشغيل</t>
  </si>
  <si>
    <t xml:space="preserve">مسئول حفلت</t>
  </si>
  <si>
    <t xml:space="preserve">مسئول شئون ادارية</t>
  </si>
  <si>
    <t xml:space="preserve">موظف ادارة التدوال اللكترونى</t>
  </si>
  <si>
    <t xml:space="preserve">موظــف</t>
  </si>
  <si>
    <t xml:space="preserve">موظف اتصالت</t>
  </si>
  <si>
    <t xml:space="preserve">موظف مخازن بضائع مشتركة</t>
  </si>
  <si>
    <t xml:space="preserve">موظف منافذ</t>
  </si>
  <si>
    <t xml:space="preserve">موظف حركة</t>
  </si>
  <si>
    <t xml:space="preserve">موظف علقات عامة</t>
  </si>
  <si>
    <t xml:space="preserve">موظف شئون عاملين</t>
  </si>
  <si>
    <t xml:space="preserve">ادارى</t>
  </si>
  <si>
    <t xml:space="preserve">ادارى موارد بشرية</t>
  </si>
  <si>
    <t xml:space="preserve">ادارى جمارك ومناطق حرة</t>
  </si>
  <si>
    <t xml:space="preserve">ادارى عمليات</t>
  </si>
  <si>
    <t xml:space="preserve">موظف بقسم الكاميرات والمراقبة الداخلية</t>
  </si>
  <si>
    <t xml:space="preserve">موظف شئون قانونية</t>
  </si>
  <si>
    <t xml:space="preserve">مساعد ادارى</t>
  </si>
  <si>
    <t xml:space="preserve">ادارى اول شبكات</t>
  </si>
  <si>
    <t xml:space="preserve">ادارى اول</t>
  </si>
  <si>
    <r>
      <rPr>
        <sz val="11"/>
        <color theme="1"/>
        <rFont val="Lohit Devanagari"/>
        <family val="2"/>
      </rPr>
      <t xml:space="preserve">عمده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شيخ قبيله</t>
    </r>
  </si>
  <si>
    <t xml:space="preserve">شيخ بلد</t>
  </si>
  <si>
    <t xml:space="preserve">محضر</t>
  </si>
  <si>
    <t xml:space="preserve">مدير الشحن</t>
  </si>
  <si>
    <t xml:space="preserve">مدير شحن جوى</t>
  </si>
  <si>
    <t xml:space="preserve">كاتب شحن وتفريغ</t>
  </si>
  <si>
    <t xml:space="preserve">مسئول معرض </t>
  </si>
  <si>
    <t xml:space="preserve">مسئول محل تجارى</t>
  </si>
  <si>
    <t xml:space="preserve">مسئول منطقة</t>
  </si>
  <si>
    <t xml:space="preserve">مسئول مكتبه</t>
  </si>
  <si>
    <t xml:space="preserve">مسئول اعلمى</t>
  </si>
  <si>
    <r>
      <rPr>
        <sz val="11"/>
        <color theme="1"/>
        <rFont val="Lohit Devanagari"/>
        <family val="2"/>
      </rPr>
      <t xml:space="preserve">مسئول اقليمى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علقات دولية</t>
    </r>
  </si>
  <si>
    <t xml:space="preserve">مسئول تداول مفرقعات</t>
  </si>
  <si>
    <t xml:space="preserve">امين شونه</t>
  </si>
  <si>
    <t xml:space="preserve">منسق صيانة</t>
  </si>
  <si>
    <t xml:space="preserve">كاتب</t>
  </si>
  <si>
    <t xml:space="preserve">مختزل</t>
  </si>
  <si>
    <t xml:space="preserve">كاتبه اله كاتبه</t>
  </si>
  <si>
    <t xml:space="preserve">كاتب علي التلغراف</t>
  </si>
  <si>
    <r>
      <rPr>
        <sz val="11"/>
        <color theme="1"/>
        <rFont val="Lohit Devanagari"/>
        <family val="2"/>
      </rPr>
      <t xml:space="preserve">كاتب تلغراف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جهاز موريس </t>
    </r>
  </si>
  <si>
    <t xml:space="preserve">كاتب تلكس </t>
  </si>
  <si>
    <t xml:space="preserve">كتبه الختزال واللت الكاتبه</t>
  </si>
  <si>
    <t xml:space="preserve">منسق خدمة عملء</t>
  </si>
  <si>
    <t xml:space="preserve">عامل تشغيل ماكينه تثقيب البطاقات</t>
  </si>
  <si>
    <t xml:space="preserve">عامل تشغيل ماكينه مراجعه البطاقات</t>
  </si>
  <si>
    <r>
      <rPr>
        <sz val="11"/>
        <color theme="1"/>
        <rFont val="Lohit Devanagari"/>
        <family val="2"/>
      </rPr>
      <t xml:space="preserve">ماسك دفاتر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</si>
  <si>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كاتب دفتر</t>
  </si>
  <si>
    <r>
      <rPr>
        <sz val="11"/>
        <color theme="1"/>
        <rFont val="Lohit Devanagari"/>
        <family val="2"/>
      </rPr>
      <t xml:space="preserve">صراف مكتب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أمين خزينه</t>
    </r>
  </si>
  <si>
    <t xml:space="preserve">صراف بنك</t>
  </si>
  <si>
    <t xml:space="preserve">صراف محل تجاري</t>
  </si>
  <si>
    <t xml:space="preserve">صراف اموال اميريه</t>
  </si>
  <si>
    <r>
      <rPr>
        <sz val="11"/>
        <color theme="1"/>
        <rFont val="Lohit Devanagari"/>
        <family val="2"/>
      </rPr>
      <t xml:space="preserve">محصل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عدا المحصلون بوسائل النقل</t>
    </r>
  </si>
  <si>
    <r>
      <rPr>
        <sz val="11"/>
        <color theme="1"/>
        <rFont val="Lohit Devanagari"/>
        <family val="2"/>
      </rPr>
      <t xml:space="preserve">صراف تذاكر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عدا المحصلون</t>
    </r>
  </si>
  <si>
    <t xml:space="preserve">موظف حجز تذاكر بشركة سياحه</t>
  </si>
  <si>
    <t xml:space="preserve">موظف حجز تذاكر طيران</t>
  </si>
  <si>
    <t xml:space="preserve">صراف مطعم</t>
  </si>
  <si>
    <t xml:space="preserve">محاسب تكاليف</t>
  </si>
  <si>
    <t xml:space="preserve">مدير تكاليف</t>
  </si>
  <si>
    <t xml:space="preserve">كاتب حسابات تكاليف</t>
  </si>
  <si>
    <t xml:space="preserve">كاتب اجور</t>
  </si>
  <si>
    <t xml:space="preserve">كاتب شئون ماليه</t>
  </si>
  <si>
    <t xml:space="preserve">مدير الحسابات والتكاليف</t>
  </si>
  <si>
    <t xml:space="preserve">ماسكو الدفاتر والصرافون</t>
  </si>
  <si>
    <t xml:space="preserve">عامل قص ورق</t>
  </si>
  <si>
    <t xml:space="preserve">عامل تشغيل ماكينه مسك الدفاتر</t>
  </si>
  <si>
    <t xml:space="preserve">عامل تشغيل الت حاسبه</t>
  </si>
  <si>
    <t xml:space="preserve">عامل تشغيل ماكينات تبويب البطاقات</t>
  </si>
  <si>
    <t xml:space="preserve">عامل تشغيل ماكينه فرز البطاقات</t>
  </si>
  <si>
    <t xml:space="preserve">عامل تشغيل ماكينه تبويب البطاقات</t>
  </si>
  <si>
    <t xml:space="preserve">عامل تشغيل جهاز حاسب الكتروني</t>
  </si>
  <si>
    <t xml:space="preserve">مشغل أجهزة شحن وتموين السيارات بالغاز</t>
  </si>
  <si>
    <t xml:space="preserve">ناظر محطه بالسكه الحديد</t>
  </si>
  <si>
    <t xml:space="preserve">معاون محطه بالسكه الحديد</t>
  </si>
  <si>
    <r>
      <rPr>
        <sz val="11"/>
        <color theme="1"/>
        <rFont val="Lohit Devanagari"/>
        <family val="2"/>
      </rPr>
      <t xml:space="preserve">رئيس  مكتب بريد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وكيل بريد</t>
    </r>
  </si>
  <si>
    <t xml:space="preserve">رئيس  مكتب تلغراف وتليفون</t>
  </si>
  <si>
    <t xml:space="preserve">رئيس  جهاز حفر</t>
  </si>
  <si>
    <t xml:space="preserve">رئيس  حركـة</t>
  </si>
  <si>
    <t xml:space="preserve">مدير حركة</t>
  </si>
  <si>
    <t xml:space="preserve">اخصائى حركه</t>
  </si>
  <si>
    <t xml:space="preserve">مفتش  حركه بوسائل النقل البري</t>
  </si>
  <si>
    <t xml:space="preserve">ناظر محطه بوسائل النقل البري</t>
  </si>
  <si>
    <t xml:space="preserve">مفتش  بوسائل النقل البري</t>
  </si>
  <si>
    <t xml:space="preserve">مشـرف</t>
  </si>
  <si>
    <t xml:space="preserve">مشرف عام</t>
  </si>
  <si>
    <t xml:space="preserve">مشرف قسم</t>
  </si>
  <si>
    <t xml:space="preserve">مشرف عمال</t>
  </si>
  <si>
    <t xml:space="preserve">مشرف دهانات</t>
  </si>
  <si>
    <t xml:space="preserve">مشرف معرض </t>
  </si>
  <si>
    <r>
      <rPr>
        <sz val="11"/>
        <color theme="1"/>
        <rFont val="Lohit Devanagari"/>
        <family val="2"/>
      </rPr>
      <t xml:space="preserve">مشرف ترويج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دعاية</t>
    </r>
  </si>
  <si>
    <t xml:space="preserve">مشرف تصاريح</t>
  </si>
  <si>
    <t xml:space="preserve">مشرف الدفاع المدنى والبيئة</t>
  </si>
  <si>
    <t xml:space="preserve">مشرف محطة</t>
  </si>
  <si>
    <t xml:space="preserve">مشرف صيانة</t>
  </si>
  <si>
    <t xml:space="preserve">مشرف ورديه</t>
  </si>
  <si>
    <t xml:space="preserve">مشرف لوجستيك</t>
  </si>
  <si>
    <t xml:space="preserve">مشرف خدمة</t>
  </si>
  <si>
    <t xml:space="preserve">مشرف فنى</t>
  </si>
  <si>
    <t xml:space="preserve">مشرف رسومات هندسيه</t>
  </si>
  <si>
    <t xml:space="preserve">مشرف اعمال مدنيه</t>
  </si>
  <si>
    <t xml:space="preserve">مشرف بوسائل المواصلت</t>
  </si>
  <si>
    <t xml:space="preserve">مشرف الشحن الجوى</t>
  </si>
  <si>
    <t xml:space="preserve">مدير طيران خاص </t>
  </si>
  <si>
    <t xml:space="preserve">ضابط حركه ارضية</t>
  </si>
  <si>
    <t xml:space="preserve">ضابط حجز ومبيعات</t>
  </si>
  <si>
    <t xml:space="preserve">ضابط مراقبه جويه</t>
  </si>
  <si>
    <t xml:space="preserve">ضابط شحــن</t>
  </si>
  <si>
    <t xml:space="preserve">مشرف مفقودات</t>
  </si>
  <si>
    <t xml:space="preserve">مشرف الحركة</t>
  </si>
  <si>
    <t xml:space="preserve">ضابط مفقودات</t>
  </si>
  <si>
    <t xml:space="preserve">ضابط حركة</t>
  </si>
  <si>
    <t xml:space="preserve">مرحل طائرات</t>
  </si>
  <si>
    <t xml:space="preserve">مشرف خدمات الركاب</t>
  </si>
  <si>
    <t xml:space="preserve">مشرف بوسائل النقل البحري</t>
  </si>
  <si>
    <t xml:space="preserve">مشرف بوسائل النقل النهري</t>
  </si>
  <si>
    <t xml:space="preserve">معاون بضائع بوسائل النقل</t>
  </si>
  <si>
    <r>
      <rPr>
        <sz val="11"/>
        <color theme="1"/>
        <rFont val="Lohit Devanagari"/>
        <family val="2"/>
      </rPr>
      <t xml:space="preserve">عامل حركه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عامل شحن جوى</t>
    </r>
  </si>
  <si>
    <t xml:space="preserve">المشرفون علي اعمال النقل والمواصلت</t>
  </si>
  <si>
    <r>
      <rPr>
        <sz val="11"/>
        <color theme="1"/>
        <rFont val="Lohit Devanagari"/>
        <family val="2"/>
      </rPr>
      <t xml:space="preserve">محصل قطار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كمساري</t>
    </r>
  </si>
  <si>
    <t xml:space="preserve">محصل اتوبيس  او ترام او تروللي</t>
  </si>
  <si>
    <t xml:space="preserve">ملحظ عربه نوم واكل بالسكه الحديد</t>
  </si>
  <si>
    <t xml:space="preserve">المحصلون في وسائل النقل</t>
  </si>
  <si>
    <t xml:space="preserve">مندوب بريد</t>
  </si>
  <si>
    <t xml:space="preserve">فراز بمكتب بريد</t>
  </si>
  <si>
    <r>
      <rPr>
        <sz val="11"/>
        <color theme="1"/>
        <rFont val="Lohit Devanagari"/>
        <family val="2"/>
      </rPr>
      <t xml:space="preserve">كاتب بمكتب بريد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موظف بريد</t>
    </r>
  </si>
  <si>
    <t xml:space="preserve">موزع بريد</t>
  </si>
  <si>
    <t xml:space="preserve">ساعي بريد اهلي</t>
  </si>
  <si>
    <t xml:space="preserve">موزع اشتراكات</t>
  </si>
  <si>
    <t xml:space="preserve">موزع انابيب بوتاجاز</t>
  </si>
  <si>
    <t xml:space="preserve">عامل تشغيل تحويله بالتليفونات</t>
  </si>
  <si>
    <r>
      <rPr>
        <sz val="11"/>
        <color theme="1"/>
        <rFont val="Lohit Devanagari"/>
        <family val="2"/>
      </rPr>
      <t xml:space="preserve">معاون تليفون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تليفونجي</t>
    </r>
  </si>
  <si>
    <r>
      <rPr>
        <sz val="11"/>
        <color theme="1"/>
        <rFont val="Lohit Devanagari"/>
        <family val="2"/>
      </rPr>
      <t xml:space="preserve">معاون تلغراف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تلغرافجي</t>
    </r>
  </si>
  <si>
    <t xml:space="preserve">عامل تشغيل لسلكي بمحطه ارضيه</t>
  </si>
  <si>
    <t xml:space="preserve">ضابط لسلكي بالسفن</t>
  </si>
  <si>
    <t xml:space="preserve">ضابط لسلكي بالطائرات</t>
  </si>
  <si>
    <t xml:space="preserve">عامل سويتش </t>
  </si>
  <si>
    <t xml:space="preserve">عمال تشغيل التليفون والتلغراف</t>
  </si>
  <si>
    <t xml:space="preserve">موظف سويتش </t>
  </si>
  <si>
    <t xml:space="preserve">محاسب مخازن</t>
  </si>
  <si>
    <t xml:space="preserve">كبير امناء مخازن</t>
  </si>
  <si>
    <t xml:space="preserve">ے كاتب سجلت بالمخازن</t>
  </si>
  <si>
    <t xml:space="preserve">امين مخزن</t>
  </si>
  <si>
    <t xml:space="preserve">مساعد امين مخزن</t>
  </si>
  <si>
    <r>
      <rPr>
        <sz val="11"/>
        <color theme="1"/>
        <rFont val="Lohit Devanagari"/>
        <family val="2"/>
      </rPr>
      <t xml:space="preserve">وزان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قباني</t>
    </r>
  </si>
  <si>
    <t xml:space="preserve">كاتب سجلت المواد</t>
  </si>
  <si>
    <t xml:space="preserve">كاتب تخطيط النتاج</t>
  </si>
  <si>
    <t xml:space="preserve">كاتب لوجستيك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</si>
  <si>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كاتب مراسلت وتقارير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</si>
  <si>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كاتب شئون افراد</t>
  </si>
  <si>
    <t xml:space="preserve">كاتب شئون قضائيه</t>
  </si>
  <si>
    <t xml:space="preserve">كاتب اعمال التامين</t>
  </si>
  <si>
    <t xml:space="preserve">كاتب محامي</t>
  </si>
  <si>
    <t xml:space="preserve">كاتب عمومي</t>
  </si>
  <si>
    <t xml:space="preserve">كتبه المراسلت والتقارير</t>
  </si>
  <si>
    <r>
      <rPr>
        <sz val="11"/>
        <color theme="1"/>
        <rFont val="Lohit Devanagari"/>
        <family val="2"/>
      </rPr>
      <t xml:space="preserve">كاتب استقبال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</si>
  <si>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كاتب استقبال بالفنادق</t>
  </si>
  <si>
    <t xml:space="preserve">كاتب استقبال بمستشفي او عياده</t>
  </si>
  <si>
    <t xml:space="preserve">كاتب سياحه</t>
  </si>
  <si>
    <t xml:space="preserve">معد برامج اضاءة</t>
  </si>
  <si>
    <t xml:space="preserve">مدير مناوب</t>
  </si>
  <si>
    <t xml:space="preserve">مدير ليلى</t>
  </si>
  <si>
    <t xml:space="preserve">كتبه الستقبال وتنظيم السفر</t>
  </si>
  <si>
    <t xml:space="preserve">كاتب مكتبه</t>
  </si>
  <si>
    <t xml:space="preserve">كاتب محفوظات</t>
  </si>
  <si>
    <t xml:space="preserve">فنى ممتاز</t>
  </si>
  <si>
    <t xml:space="preserve">فنى اول</t>
  </si>
  <si>
    <t xml:space="preserve">كاتب احصاءات</t>
  </si>
  <si>
    <r>
      <rPr>
        <sz val="11"/>
        <color theme="1"/>
        <rFont val="Lohit Devanagari"/>
        <family val="2"/>
      </rPr>
      <t xml:space="preserve">كاتب ترميز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مرمز</t>
    </r>
  </si>
  <si>
    <t xml:space="preserve">كاتب ميزانيه</t>
  </si>
  <si>
    <t xml:space="preserve">قراض  تذاكر</t>
  </si>
  <si>
    <t xml:space="preserve">قاريء بروفات بالمطابع</t>
  </si>
  <si>
    <t xml:space="preserve">قاريء عدادات</t>
  </si>
  <si>
    <t xml:space="preserve">كاتب انتاج</t>
  </si>
  <si>
    <t xml:space="preserve">مدير تخليص جمركى</t>
  </si>
  <si>
    <t xml:space="preserve">اخصائى تخليص جمركى</t>
  </si>
  <si>
    <t xml:space="preserve">اخصائى استثمار وجمارك</t>
  </si>
  <si>
    <t xml:space="preserve">مخلص  بالجمارك</t>
  </si>
  <si>
    <t xml:space="preserve">منسق تصاريح</t>
  </si>
  <si>
    <t xml:space="preserve">الكتبه الذين لم ترد مهنهم</t>
  </si>
  <si>
    <t xml:space="preserve">مدير في عمليات تجاره الجمله</t>
  </si>
  <si>
    <t xml:space="preserve">مدير في عمليات تجاره التجزئه</t>
  </si>
  <si>
    <t xml:space="preserve">صاحب عمل ويديره في تجاره الجمله</t>
  </si>
  <si>
    <t xml:space="preserve">صاحب عمل ويديره في تجاره التجزئه</t>
  </si>
  <si>
    <r>
      <rPr>
        <sz val="11"/>
        <color theme="1"/>
        <rFont val="Lohit Devanagari"/>
        <family val="2"/>
      </rPr>
      <t xml:space="preserve">مشرف علي البيع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رئيس  بيع</t>
    </r>
  </si>
  <si>
    <t xml:space="preserve">مشرف بوحده انتاجيه</t>
  </si>
  <si>
    <t xml:space="preserve">مشرف تصديـر</t>
  </si>
  <si>
    <t xml:space="preserve">اخصائى وزن</t>
  </si>
  <si>
    <t xml:space="preserve">اخصائى تسعير وتوزيع</t>
  </si>
  <si>
    <t xml:space="preserve">مشرف توزيع</t>
  </si>
  <si>
    <t xml:space="preserve">اخصائى تصدير</t>
  </si>
  <si>
    <t xml:space="preserve">منـدوب</t>
  </si>
  <si>
    <t xml:space="preserve">مندوب صيانه</t>
  </si>
  <si>
    <t xml:space="preserve">مندوب تراخيص </t>
  </si>
  <si>
    <t xml:space="preserve">مندوب امن وحراسه</t>
  </si>
  <si>
    <t xml:space="preserve">مندوب بنك</t>
  </si>
  <si>
    <t xml:space="preserve">مستخلص تراخيص أجانب</t>
  </si>
  <si>
    <t xml:space="preserve">مندوب خدمات</t>
  </si>
  <si>
    <t xml:space="preserve">مندوب تجهيزات</t>
  </si>
  <si>
    <t xml:space="preserve">مندوب جودة</t>
  </si>
  <si>
    <t xml:space="preserve">مندوب تشغيل ماكينات</t>
  </si>
  <si>
    <t xml:space="preserve">وكيــل</t>
  </si>
  <si>
    <t xml:space="preserve">وكيل قسم</t>
  </si>
  <si>
    <t xml:space="preserve">وكيل ادارة</t>
  </si>
  <si>
    <t xml:space="preserve">وكيل الدارة المالية</t>
  </si>
  <si>
    <t xml:space="preserve">وكيل مفوض </t>
  </si>
  <si>
    <t xml:space="preserve">مساعد اخصائى تدخل مبكر</t>
  </si>
  <si>
    <t xml:space="preserve">مساعد اخصائى تكنولوجيا تعليم ذوى العاقة</t>
  </si>
  <si>
    <t xml:space="preserve">مساعد اخصائى تاهيل لمتعددى العاقة</t>
  </si>
  <si>
    <t xml:space="preserve">مساعد اخصائى لغة اشارة الصم</t>
  </si>
  <si>
    <t xml:space="preserve">مساعد اخصائى تنمية مهارات موهوبين</t>
  </si>
  <si>
    <t xml:space="preserve">مساعد اخصائى نفسى اكلينيكى</t>
  </si>
  <si>
    <t xml:space="preserve">مساعد اخصائى تاهيل صم وبكم</t>
  </si>
  <si>
    <t xml:space="preserve">مساعد اخصائى في مجال ذوى الحتياجات</t>
  </si>
  <si>
    <t xml:space="preserve">مندوب مشتريات</t>
  </si>
  <si>
    <t xml:space="preserve">وكيل مشتريات</t>
  </si>
  <si>
    <t xml:space="preserve">مندوب تعبئه</t>
  </si>
  <si>
    <t xml:space="preserve">مندوب اعلنات</t>
  </si>
  <si>
    <t xml:space="preserve">مندوب لوجستيك</t>
  </si>
  <si>
    <t xml:space="preserve">مندوب مالى وادارى</t>
  </si>
  <si>
    <t xml:space="preserve">مندوب قضائى</t>
  </si>
  <si>
    <t xml:space="preserve">مندوب تعاقد</t>
  </si>
  <si>
    <t xml:space="preserve">مندوب تحصيل</t>
  </si>
  <si>
    <t xml:space="preserve">مندوب تسويق</t>
  </si>
  <si>
    <t xml:space="preserve">مندوب دعم فنى</t>
  </si>
  <si>
    <t xml:space="preserve">بائع فني</t>
  </si>
  <si>
    <t xml:space="preserve">مقدم استشارات فنيه للمشترين</t>
  </si>
  <si>
    <t xml:space="preserve">مندوب مبيعات</t>
  </si>
  <si>
    <t xml:space="preserve">اخصائى بيع بالتليفون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</si>
  <si>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Lohit Devanagari"/>
        <family val="2"/>
      </rPr>
      <t xml:space="preserve">جوال تجارى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Lohit Devanagari"/>
        <family val="2"/>
      </rPr>
      <t xml:space="preserve">أبلسيه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مندوب بيع</t>
    </r>
  </si>
  <si>
    <t xml:space="preserve">مندوب توزيع</t>
  </si>
  <si>
    <t xml:space="preserve">وكيل توزيع منتجات مصنع</t>
  </si>
  <si>
    <t xml:space="preserve">مندوب بيع بالتليفون</t>
  </si>
  <si>
    <t xml:space="preserve">مندوب اختبارات</t>
  </si>
  <si>
    <t xml:space="preserve">مندوب صمامات</t>
  </si>
  <si>
    <r>
      <rPr>
        <sz val="11"/>
        <color theme="1"/>
        <rFont val="Lohit Devanagari"/>
        <family val="2"/>
      </rPr>
      <t xml:space="preserve">بائع عقود تاءمين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منتج</t>
    </r>
  </si>
  <si>
    <r>
      <rPr>
        <sz val="11"/>
        <color theme="1"/>
        <rFont val="Lohit Devanagari"/>
        <family val="2"/>
      </rPr>
      <t xml:space="preserve">بائع عقود عقارات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سمسار عقارات</t>
    </r>
  </si>
  <si>
    <r>
      <rPr>
        <sz val="11"/>
        <color theme="1"/>
        <rFont val="Lohit Devanagari"/>
        <family val="2"/>
      </rPr>
      <t xml:space="preserve">بائع اوراق ماليه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سمسار اوراق</t>
    </r>
  </si>
  <si>
    <t xml:space="preserve">وسطاء بيع عقود التاءمين</t>
  </si>
  <si>
    <r>
      <rPr>
        <sz val="11"/>
        <color theme="1"/>
        <rFont val="Lohit Devanagari"/>
        <family val="2"/>
      </rPr>
      <t xml:space="preserve">وسيط تقديم خدمه في اعمال تجاريه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قومسيونجي</t>
    </r>
  </si>
  <si>
    <t xml:space="preserve">وسيط اعلنات تجاريه</t>
  </si>
  <si>
    <t xml:space="preserve">خبير تقييم مساعد</t>
  </si>
  <si>
    <r>
      <rPr>
        <sz val="11"/>
        <color theme="1"/>
        <rFont val="Lohit Devanagari"/>
        <family val="2"/>
      </rPr>
      <t xml:space="preserve">دلل مزادات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خبير مثمن للمزدات</t>
    </r>
  </si>
  <si>
    <t xml:space="preserve">خبير تقييم اصول</t>
  </si>
  <si>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صايغ 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حواهرجى</t>
    </r>
  </si>
  <si>
    <t xml:space="preserve">بائع في تجاره الجمله</t>
  </si>
  <si>
    <t xml:space="preserve">بائع في تجاره التجزئه</t>
  </si>
  <si>
    <r>
      <rPr>
        <sz val="11"/>
        <color theme="1"/>
        <rFont val="Lohit Devanagari"/>
        <family val="2"/>
      </rPr>
      <t xml:space="preserve">عارضه ازياء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مانيكان</t>
    </r>
  </si>
  <si>
    <t xml:space="preserve">عارض  بضائع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</si>
  <si>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Lohit Devanagari"/>
        <family val="2"/>
      </rPr>
      <t xml:space="preserve">تسليم بضائع مباعه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Lohit Devanagari"/>
        <family val="2"/>
      </rPr>
      <t xml:space="preserve">كنترول</t>
    </r>
  </si>
  <si>
    <t xml:space="preserve">عامل مخزن</t>
  </si>
  <si>
    <r>
      <rPr>
        <sz val="11"/>
        <color theme="1"/>
        <rFont val="Lohit Devanagari"/>
        <family val="2"/>
      </rPr>
      <t xml:space="preserve">الباعه ومساعدوهم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</si>
  <si>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بائع متجول</t>
  </si>
  <si>
    <r>
      <rPr>
        <sz val="11"/>
        <color theme="1"/>
        <rFont val="Lohit Devanagari"/>
        <family val="2"/>
      </rPr>
      <t xml:space="preserve">بائع موزع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لبن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خبز</t>
    </r>
  </si>
  <si>
    <r>
      <rPr>
        <sz val="11"/>
        <color theme="1"/>
        <rFont val="Lohit Devanagari"/>
        <family val="2"/>
      </rPr>
      <t xml:space="preserve">بمبوطي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بائع متجول في البحر</t>
    </r>
  </si>
  <si>
    <t xml:space="preserve">بائع متنقل في السواق</t>
  </si>
  <si>
    <t xml:space="preserve">بائع صحف</t>
  </si>
  <si>
    <t xml:space="preserve">تاجر مواشي متجول في السواق</t>
  </si>
  <si>
    <t xml:space="preserve">الباعه المتجولون والباعه المتنقلون</t>
  </si>
  <si>
    <t xml:space="preserve">مندوب دعايه طبيه</t>
  </si>
  <si>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مندوب علمي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دعايه</t>
    </r>
  </si>
  <si>
    <t xml:space="preserve">مشرف دعايه طبيه</t>
  </si>
  <si>
    <t xml:space="preserve">القائمون باءعمال البيع الخرون</t>
  </si>
  <si>
    <t xml:space="preserve">رئيس  حلوانى</t>
  </si>
  <si>
    <t xml:space="preserve">حلــوانى</t>
  </si>
  <si>
    <t xml:space="preserve">شيف حلوانى</t>
  </si>
  <si>
    <t xml:space="preserve">مدير تشغيل المخبوزات والحلويات</t>
  </si>
  <si>
    <t xml:space="preserve">شيف تنفيذى</t>
  </si>
  <si>
    <t xml:space="preserve">شيف خباز</t>
  </si>
  <si>
    <t xml:space="preserve">مدير مطعم</t>
  </si>
  <si>
    <t xml:space="preserve">مدير مطاعم</t>
  </si>
  <si>
    <t xml:space="preserve">مساعد مدير مطعم</t>
  </si>
  <si>
    <t xml:space="preserve">معاون مطعم</t>
  </si>
  <si>
    <t xml:space="preserve">كابتن مطعم</t>
  </si>
  <si>
    <t xml:space="preserve">مدير ادارة الشىون الفندقيه</t>
  </si>
  <si>
    <t xml:space="preserve">مدير فندق</t>
  </si>
  <si>
    <t xml:space="preserve">مدير عام فندق</t>
  </si>
  <si>
    <t xml:space="preserve">نائب مدير فندق</t>
  </si>
  <si>
    <t xml:space="preserve">مدير الشراف الداخلى</t>
  </si>
  <si>
    <t xml:space="preserve">مساعد مدير الشراف الداخلى</t>
  </si>
  <si>
    <t xml:space="preserve">مدير حجــز</t>
  </si>
  <si>
    <t xml:space="preserve">اخصائى حجوزات</t>
  </si>
  <si>
    <t xml:space="preserve">متعهد حفلت</t>
  </si>
  <si>
    <t xml:space="preserve">مدير الستقبال</t>
  </si>
  <si>
    <t xml:space="preserve">نائب مدير استقبال</t>
  </si>
  <si>
    <t xml:space="preserve">مشرف حجز</t>
  </si>
  <si>
    <t xml:space="preserve">نائب مشرف</t>
  </si>
  <si>
    <t xml:space="preserve">موظف استقبال</t>
  </si>
  <si>
    <t xml:space="preserve">مشرف استقبال</t>
  </si>
  <si>
    <t xml:space="preserve">مسئول استقبال وأمن</t>
  </si>
  <si>
    <t xml:space="preserve">مدير اغذية ومشروبات</t>
  </si>
  <si>
    <t xml:space="preserve">مدير تدبير غرف</t>
  </si>
  <si>
    <t xml:space="preserve">مساعد مدير تدبير غرف</t>
  </si>
  <si>
    <t xml:space="preserve">المديرون في المطاعم والفنادق</t>
  </si>
  <si>
    <t xml:space="preserve">مدير المكاتب الماميه</t>
  </si>
  <si>
    <t xml:space="preserve">مشرف مكاتب اماميه</t>
  </si>
  <si>
    <t xml:space="preserve">موظف مكاتب امامية</t>
  </si>
  <si>
    <t xml:space="preserve">مدير حفلت</t>
  </si>
  <si>
    <t xml:space="preserve">مدير في الخدمات الترفيهيه</t>
  </si>
  <si>
    <t xml:space="preserve">موظف في الخدمات الترفيهيه</t>
  </si>
  <si>
    <t xml:space="preserve">مدير في الخدمات الشخصيه</t>
  </si>
  <si>
    <t xml:space="preserve">المديرون في الخدمات الترفيهيه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</si>
  <si>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Lohit Devanagari"/>
        <family val="2"/>
      </rPr>
      <t xml:space="preserve">حامل حقائب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Lohit Devanagari"/>
        <family val="2"/>
      </rPr>
      <t xml:space="preserve">بلمان</t>
    </r>
  </si>
  <si>
    <t xml:space="preserve">صاحب مطعم يعمل فيه</t>
  </si>
  <si>
    <t xml:space="preserve">صاحب كافيتريا يعمل فيها</t>
  </si>
  <si>
    <t xml:space="preserve">مشرف كافيتريا</t>
  </si>
  <si>
    <r>
      <rPr>
        <sz val="11"/>
        <color theme="1"/>
        <rFont val="Lohit Devanagari"/>
        <family val="2"/>
      </rPr>
      <t xml:space="preserve">صاحب حانه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يعمل فيه</t>
    </r>
  </si>
  <si>
    <t xml:space="preserve">متر بار</t>
  </si>
  <si>
    <t xml:space="preserve">صاحب قهوه يعمل فيها</t>
  </si>
  <si>
    <t xml:space="preserve">صاحب فندق يعمل فيه</t>
  </si>
  <si>
    <t xml:space="preserve">صاحب بنسيون يعمل فيه</t>
  </si>
  <si>
    <t xml:space="preserve">صاحب صيدلية يعمل بها</t>
  </si>
  <si>
    <t xml:space="preserve">صاحب منشاه خدمات ترفيهيه يعمل فيها</t>
  </si>
  <si>
    <t xml:space="preserve">صاحب منشاه خدمات شخصيه يعمل فيها</t>
  </si>
  <si>
    <t xml:space="preserve">صاحب ومدير مكتب محاسبه</t>
  </si>
  <si>
    <t xml:space="preserve">صاحب ومدير شركة</t>
  </si>
  <si>
    <t xml:space="preserve">صاحب مكتب استشارات محاسبة للتامينات</t>
  </si>
  <si>
    <t xml:space="preserve">صاحب سياره</t>
  </si>
  <si>
    <r>
      <rPr>
        <sz val="11"/>
        <color theme="1"/>
        <rFont val="Lohit Devanagari"/>
        <family val="2"/>
      </rPr>
      <t xml:space="preserve">صاحب عقار يقل ريعه عن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Lohit Devanagari"/>
        <family val="2"/>
      </rPr>
      <t xml:space="preserve">جنيه سنويا</t>
    </r>
  </si>
  <si>
    <r>
      <rPr>
        <sz val="11"/>
        <color theme="1"/>
        <rFont val="Calibri"/>
        <family val="2"/>
        <charset val="1"/>
      </rPr>
      <t xml:space="preserve">94/77 </t>
    </r>
    <r>
      <rPr>
        <sz val="11"/>
        <color theme="1"/>
        <rFont val="Lohit Devanagari"/>
        <family val="2"/>
      </rPr>
      <t xml:space="preserve">ورثه صاحب منشاه فرديه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قرار وزاري</t>
    </r>
  </si>
  <si>
    <t xml:space="preserve">اصحاب المطاعم والفنادق ومنشات اخري</t>
  </si>
  <si>
    <t xml:space="preserve">مساعد رئيس  قسم بالمطبخ</t>
  </si>
  <si>
    <r>
      <rPr>
        <sz val="11"/>
        <color theme="1"/>
        <rFont val="Lohit Devanagari"/>
        <family val="2"/>
      </rPr>
      <t xml:space="preserve">مشرف علي مسكن عام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فندق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مستشفي</t>
    </r>
  </si>
  <si>
    <t xml:space="preserve">مشرف علي مسكن خاص </t>
  </si>
  <si>
    <t xml:space="preserve">مشرف ادوار</t>
  </si>
  <si>
    <t xml:space="preserve">مشرف غرف</t>
  </si>
  <si>
    <t xml:space="preserve">مشرف دار اقامة</t>
  </si>
  <si>
    <t xml:space="preserve">مشرف مضيفين</t>
  </si>
  <si>
    <t xml:space="preserve">مضيفه ـ مضيف جوى</t>
  </si>
  <si>
    <t xml:space="preserve">رئيس  طاقم</t>
  </si>
  <si>
    <t xml:space="preserve">رئيس مضيفين</t>
  </si>
  <si>
    <t xml:space="preserve">رئيس  صف فى الفنادق والمستشفيات</t>
  </si>
  <si>
    <t xml:space="preserve">رئيس  صف على سفينه</t>
  </si>
  <si>
    <t xml:space="preserve">مشرف ادارة الخدمات المعاونة</t>
  </si>
  <si>
    <t xml:space="preserve">اخصائى نظافة</t>
  </si>
  <si>
    <t xml:space="preserve">المشرفون علي رعايه ونظافه المنشاءت</t>
  </si>
  <si>
    <t xml:space="preserve">عامل مطبخ</t>
  </si>
  <si>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رئيس  سفرجية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متردوتيل</t>
    </r>
  </si>
  <si>
    <t xml:space="preserve">نائب رئيس  المطبخ</t>
  </si>
  <si>
    <r>
      <rPr>
        <sz val="11"/>
        <color theme="1"/>
        <rFont val="Lohit Devanagari"/>
        <family val="2"/>
      </rPr>
      <t xml:space="preserve">رئيس  طهاه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طباخين</t>
    </r>
  </si>
  <si>
    <t xml:space="preserve">مساعد رئيس بالمطبخ</t>
  </si>
  <si>
    <t xml:space="preserve">مدير فنانى المطابخ</t>
  </si>
  <si>
    <t xml:space="preserve">مدير مطابخ</t>
  </si>
  <si>
    <t xml:space="preserve">مساعد طباخ</t>
  </si>
  <si>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طاهى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طباخ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شيـف</t>
    </r>
  </si>
  <si>
    <r>
      <rPr>
        <sz val="11"/>
        <color theme="1"/>
        <rFont val="Lohit Devanagari"/>
        <family val="2"/>
      </rPr>
      <t xml:space="preserve">طاه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طباخ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خاص </t>
    </r>
  </si>
  <si>
    <r>
      <rPr>
        <sz val="11"/>
        <color theme="1"/>
        <rFont val="Lohit Devanagari"/>
        <family val="2"/>
      </rPr>
      <t xml:space="preserve">طاه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طباخ علي سفينه</t>
    </r>
  </si>
  <si>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كبابجي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شواء لحمة</t>
    </r>
  </si>
  <si>
    <t xml:space="preserve">شـواء شاورمة</t>
  </si>
  <si>
    <t xml:space="preserve">شــواء فراخ</t>
  </si>
  <si>
    <t xml:space="preserve">طعمجي</t>
  </si>
  <si>
    <t xml:space="preserve">قلي سمك</t>
  </si>
  <si>
    <r>
      <rPr>
        <sz val="11"/>
        <color theme="1"/>
        <rFont val="Lohit Devanagari"/>
        <family val="2"/>
      </rPr>
      <t xml:space="preserve">الطهاه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</si>
  <si>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مشرف اغذية ومشروبات</t>
  </si>
  <si>
    <r>
      <rPr>
        <sz val="11"/>
        <color theme="1"/>
        <rFont val="Lohit Devanagari"/>
        <family val="2"/>
      </rPr>
      <t xml:space="preserve">مضيفه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مضيف</t>
    </r>
  </si>
  <si>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جرسون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مقدم طعام</t>
    </r>
  </si>
  <si>
    <t xml:space="preserve">متلقى طلبات</t>
  </si>
  <si>
    <t xml:space="preserve">معبأ طلبات بمطعم</t>
  </si>
  <si>
    <t xml:space="preserve">خط امامى بمطعم</t>
  </si>
  <si>
    <t xml:space="preserve">خط خلفى بمطعم</t>
  </si>
  <si>
    <r>
      <rPr>
        <sz val="11"/>
        <color theme="1"/>
        <rFont val="Lohit Devanagari"/>
        <family val="2"/>
      </rPr>
      <t xml:space="preserve">قهوجي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بوفيه</t>
    </r>
  </si>
  <si>
    <t xml:space="preserve">ساقي بارمان</t>
  </si>
  <si>
    <t xml:space="preserve">سفرجي</t>
  </si>
  <si>
    <t xml:space="preserve">معاون بوفيه</t>
  </si>
  <si>
    <t xml:space="preserve">الجرسونات والسقاه ومن اليهم</t>
  </si>
  <si>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معاون منزل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شغال</t>
    </r>
  </si>
  <si>
    <t xml:space="preserve">عامل منزلى</t>
  </si>
  <si>
    <r>
      <rPr>
        <sz val="11"/>
        <color theme="1"/>
        <rFont val="Lohit Devanagari"/>
        <family val="2"/>
      </rPr>
      <t xml:space="preserve">داده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مربيه</t>
    </r>
  </si>
  <si>
    <t xml:space="preserve">وصيفه</t>
  </si>
  <si>
    <t xml:space="preserve">مرافق</t>
  </si>
  <si>
    <t xml:space="preserve">مشرف علي الخدمه علي سطح السفينه</t>
  </si>
  <si>
    <t xml:space="preserve">القائمون بالخدمه الشخصيه للعائلت</t>
  </si>
  <si>
    <t xml:space="preserve">بواب</t>
  </si>
  <si>
    <t xml:space="preserve">مبلغ ومقابل وارد</t>
  </si>
  <si>
    <r>
      <rPr>
        <sz val="11"/>
        <color theme="1"/>
        <rFont val="Lohit Devanagari"/>
        <family val="2"/>
      </rPr>
      <t xml:space="preserve">فراش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ساعي</t>
    </r>
  </si>
  <si>
    <t xml:space="preserve">عامل تشغيل مصاعد</t>
  </si>
  <si>
    <t xml:space="preserve">عامل تشغيل ماكينه رفع المياه</t>
  </si>
  <si>
    <t xml:space="preserve">رئيس معاون خدمة</t>
  </si>
  <si>
    <t xml:space="preserve">معاون خدمه</t>
  </si>
  <si>
    <t xml:space="preserve">عامل خدمات معاونة</t>
  </si>
  <si>
    <t xml:space="preserve">معاون طقم</t>
  </si>
  <si>
    <t xml:space="preserve">خادم مسجد</t>
  </si>
  <si>
    <t xml:space="preserve">خادم كنيسه</t>
  </si>
  <si>
    <t xml:space="preserve">العاملون في رعايه المباني</t>
  </si>
  <si>
    <t xml:space="preserve">عامل نظافه عنبر وملحقاته</t>
  </si>
  <si>
    <t xml:space="preserve">عامل نشان وميزان بال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</si>
  <si>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هزازات وترمسيون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نظافه</t>
    </r>
  </si>
  <si>
    <t xml:space="preserve">عمال نظافه حوش  وتضاريب</t>
  </si>
  <si>
    <t xml:space="preserve">عامل نظافة</t>
  </si>
  <si>
    <t xml:space="preserve">عامل تنظيف مباني ومنشاءت سكنيه</t>
  </si>
  <si>
    <r>
      <rPr>
        <sz val="11"/>
        <color theme="1"/>
        <rFont val="Lohit Devanagari"/>
        <family val="2"/>
      </rPr>
      <t xml:space="preserve">عامل غسيل وكي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</si>
  <si>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عامل تشغيل ماكينه غسيل الملبس </t>
  </si>
  <si>
    <t xml:space="preserve">عامل تشغيل ماكينه تنظيف علي الجاف</t>
  </si>
  <si>
    <r>
      <rPr>
        <sz val="11"/>
        <color theme="1"/>
        <rFont val="Lohit Devanagari"/>
        <family val="2"/>
      </rPr>
      <t xml:space="preserve">عامله غسيل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غساله</t>
    </r>
  </si>
  <si>
    <t xml:space="preserve">عامل تشغيل ماكينه كي الملبس </t>
  </si>
  <si>
    <r>
      <rPr>
        <sz val="11"/>
        <color theme="1"/>
        <rFont val="Lohit Devanagari"/>
        <family val="2"/>
      </rPr>
      <t xml:space="preserve">عامل كي ملبس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مكوجي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باليد</t>
    </r>
  </si>
  <si>
    <t xml:space="preserve">العاملون في غسيل الملبس  والتنظيف</t>
  </si>
  <si>
    <t xml:space="preserve">عامل استلم بياضات</t>
  </si>
  <si>
    <t xml:space="preserve">حلق ومصفف شعر سيدات</t>
  </si>
  <si>
    <t xml:space="preserve">حلق ومصفف شعر رجال</t>
  </si>
  <si>
    <t xml:space="preserve">اخصائي تجميل</t>
  </si>
  <si>
    <r>
      <rPr>
        <sz val="11"/>
        <color theme="1"/>
        <rFont val="Lohit Devanagari"/>
        <family val="2"/>
      </rPr>
      <t xml:space="preserve">مدلك حمام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مكيس </t>
    </r>
  </si>
  <si>
    <r>
      <rPr>
        <sz val="11"/>
        <color theme="1"/>
        <rFont val="Lohit Devanagari"/>
        <family val="2"/>
      </rPr>
      <t xml:space="preserve">عامل مكياج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ماكيير</t>
    </r>
  </si>
  <si>
    <t xml:space="preserve">شرطي مطافي</t>
  </si>
  <si>
    <t xml:space="preserve">فنى اطفاء</t>
  </si>
  <si>
    <t xml:space="preserve">رجل مطافي خاص </t>
  </si>
  <si>
    <t xml:space="preserve">عامل اطفاء</t>
  </si>
  <si>
    <t xml:space="preserve">رجال المطافي والنقاذ</t>
  </si>
  <si>
    <t xml:space="preserve">شرطي</t>
  </si>
  <si>
    <r>
      <rPr>
        <sz val="11"/>
        <color theme="1"/>
        <rFont val="Lohit Devanagari"/>
        <family val="2"/>
      </rPr>
      <t xml:space="preserve">شرطه مباحث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مخبر</t>
    </r>
  </si>
  <si>
    <r>
      <rPr>
        <sz val="11"/>
        <color theme="1"/>
        <rFont val="Lohit Devanagari"/>
        <family val="2"/>
      </rPr>
      <t xml:space="preserve">رجال الشرطه والمباحث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</si>
  <si>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ضابط شرطه</t>
  </si>
  <si>
    <t xml:space="preserve">ضابط مباحث</t>
  </si>
  <si>
    <t xml:space="preserve">ضابط مطافي</t>
  </si>
  <si>
    <r>
      <rPr>
        <sz val="11"/>
        <color theme="1"/>
        <rFont val="Lohit Devanagari"/>
        <family val="2"/>
      </rPr>
      <t xml:space="preserve">ضباط الشرطه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</si>
  <si>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رئيس  حراس </t>
  </si>
  <si>
    <t xml:space="preserve">مشرف أول</t>
  </si>
  <si>
    <t xml:space="preserve">معاون امن ممتاز اول</t>
  </si>
  <si>
    <t xml:space="preserve">معاون امن ممتاز ثان</t>
  </si>
  <si>
    <t xml:space="preserve">معاون امن ممتاز</t>
  </si>
  <si>
    <t xml:space="preserve">معاون امن اول</t>
  </si>
  <si>
    <t xml:space="preserve">معاون امن ثان</t>
  </si>
  <si>
    <t xml:space="preserve">معاون امن ثالث</t>
  </si>
  <si>
    <t xml:space="preserve">مشرف امن</t>
  </si>
  <si>
    <t xml:space="preserve">مشرف امن صناعى</t>
  </si>
  <si>
    <t xml:space="preserve">فرد امن</t>
  </si>
  <si>
    <t xml:space="preserve">حارس  خاص </t>
  </si>
  <si>
    <t xml:space="preserve">عامل امن صناعى</t>
  </si>
  <si>
    <t xml:space="preserve">منسق امن</t>
  </si>
  <si>
    <t xml:space="preserve">مراقب امنى اول</t>
  </si>
  <si>
    <t xml:space="preserve">مراقب امنى ثانى</t>
  </si>
  <si>
    <t xml:space="preserve">خفير نظامي</t>
  </si>
  <si>
    <r>
      <rPr>
        <sz val="11"/>
        <color theme="1"/>
        <rFont val="Lohit Devanagari"/>
        <family val="2"/>
      </rPr>
      <t xml:space="preserve">خفير خصوصي 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Lohit Devanagari"/>
        <family val="2"/>
      </rPr>
      <t xml:space="preserve">عامل حراسه</t>
    </r>
  </si>
  <si>
    <t xml:space="preserve">سجان</t>
  </si>
  <si>
    <t xml:space="preserve">العاملون في خدمات المن والوقايه</t>
  </si>
  <si>
    <t xml:space="preserve">مدير ادارة الخدمات السياحيه</t>
  </si>
  <si>
    <t xml:space="preserve">مدير سياحة</t>
  </si>
  <si>
    <t xml:space="preserve">مدير سياحة دينية</t>
  </si>
  <si>
    <t xml:space="preserve">موظف سياحة دينية</t>
  </si>
  <si>
    <t xml:space="preserve">مندوب سياحة</t>
  </si>
  <si>
    <t xml:space="preserve">مرشد سياحي</t>
  </si>
  <si>
    <t xml:space="preserve">مندوب سياحه وطيران</t>
  </si>
  <si>
    <t xml:space="preserve">اخصائي تنظيم برامج سياحيه</t>
  </si>
  <si>
    <t xml:space="preserve">منسق برامج ثقافية</t>
  </si>
  <si>
    <t xml:space="preserve">مرافق مجموعات سياحيه</t>
  </si>
  <si>
    <t xml:space="preserve">مضيفه ارضيه</t>
  </si>
  <si>
    <t xml:space="preserve">منظم معارض </t>
  </si>
  <si>
    <t xml:space="preserve">مخطط</t>
  </si>
  <si>
    <t xml:space="preserve">مخطط انتاج</t>
  </si>
  <si>
    <t xml:space="preserve">حانوتي</t>
  </si>
  <si>
    <t xml:space="preserve">مغسل</t>
  </si>
  <si>
    <t xml:space="preserve">تربي</t>
  </si>
  <si>
    <t xml:space="preserve">الحانوتيه والتربيه ومن اليهم</t>
  </si>
  <si>
    <t xml:space="preserve">رجل اسعاف</t>
  </si>
  <si>
    <t xml:space="preserve">فراش  خيام</t>
  </si>
  <si>
    <t xml:space="preserve">عامل صباغه ملبس </t>
  </si>
  <si>
    <t xml:space="preserve">سايس  اسطبل</t>
  </si>
  <si>
    <t xml:space="preserve">سايس  جراج</t>
  </si>
  <si>
    <t xml:space="preserve">منادي سيارات</t>
  </si>
  <si>
    <t xml:space="preserve">ابونيه</t>
  </si>
  <si>
    <t xml:space="preserve">سقا</t>
  </si>
  <si>
    <t xml:space="preserve">ماشطه</t>
  </si>
  <si>
    <t xml:space="preserve">منوم مغناطيسي</t>
  </si>
  <si>
    <t xml:space="preserve">منجم</t>
  </si>
  <si>
    <t xml:space="preserve">قاريء كف</t>
  </si>
  <si>
    <r>
      <rPr>
        <sz val="11"/>
        <color theme="1"/>
        <rFont val="Lohit Devanagari"/>
        <family val="2"/>
      </rPr>
      <t xml:space="preserve">صانع وشم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دقاق</t>
    </r>
  </si>
  <si>
    <t xml:space="preserve">كناس </t>
  </si>
  <si>
    <t xml:space="preserve">ماسح احذيه</t>
  </si>
  <si>
    <t xml:space="preserve">جامع قمامه</t>
  </si>
  <si>
    <t xml:space="preserve">مسحراتي</t>
  </si>
  <si>
    <t xml:space="preserve">كاسح مراحيض </t>
  </si>
  <si>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العاملون في الخدمات الخرون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مراجيحي</t>
    </r>
  </si>
  <si>
    <t xml:space="preserve">مدير مزرعه للنتاج العام</t>
  </si>
  <si>
    <t xml:space="preserve">مدير مزرعه للنتاج النباتي</t>
  </si>
  <si>
    <t xml:space="preserve">مدير مزرعه للنتاج الحيواني</t>
  </si>
  <si>
    <t xml:space="preserve">مدير مزرعه للنتاج السمكي</t>
  </si>
  <si>
    <t xml:space="preserve">مشرف  انتاج</t>
  </si>
  <si>
    <t xml:space="preserve">مشرف بمزرعه للنتاج العام</t>
  </si>
  <si>
    <t xml:space="preserve">مشرف بمزرعه للنتاج النباتي</t>
  </si>
  <si>
    <t xml:space="preserve">مشرف بمزرعه للنتاج الحيواني</t>
  </si>
  <si>
    <t xml:space="preserve">مشرف بمزرعه للنتاج السمكي</t>
  </si>
  <si>
    <t xml:space="preserve">مشرف الزراعه بالقريه</t>
  </si>
  <si>
    <r>
      <rPr>
        <sz val="11"/>
        <color theme="1"/>
        <rFont val="Lohit Devanagari"/>
        <family val="2"/>
      </rPr>
      <t xml:space="preserve">فني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معاون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بمزرعه للنتاج العام</t>
    </r>
  </si>
  <si>
    <r>
      <rPr>
        <sz val="11"/>
        <color theme="1"/>
        <rFont val="Lohit Devanagari"/>
        <family val="2"/>
      </rPr>
      <t xml:space="preserve">فني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معاون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بمزرعه للنتاج النباتي</t>
    </r>
  </si>
  <si>
    <t xml:space="preserve">فني  معاون  بمزرعه للنتاج الحيواني</t>
  </si>
  <si>
    <t xml:space="preserve">فني معمل انتاج حيواني</t>
  </si>
  <si>
    <t xml:space="preserve">فني  معاون  بمزرعه للنتاج السمكي</t>
  </si>
  <si>
    <t xml:space="preserve">المديرون والمشرفون في المزارع</t>
  </si>
  <si>
    <t xml:space="preserve">رئيس  قسم منتجات اللبان</t>
  </si>
  <si>
    <r>
      <rPr>
        <sz val="11"/>
        <color theme="1"/>
        <rFont val="Lohit Devanagari"/>
        <family val="2"/>
      </rPr>
      <t xml:space="preserve">فلح او مزارع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حائز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</si>
  <si>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الوجبات الجاهزه</t>
  </si>
  <si>
    <r>
      <rPr>
        <sz val="11"/>
        <color theme="1"/>
        <rFont val="Lohit Devanagari"/>
        <family val="2"/>
      </rPr>
      <t xml:space="preserve">فلح او مزارع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حائز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متخصص  في الخضر</t>
    </r>
  </si>
  <si>
    <r>
      <rPr>
        <sz val="11"/>
        <color theme="1"/>
        <rFont val="Lohit Devanagari"/>
        <family val="2"/>
      </rPr>
      <t xml:space="preserve">فلح او مزارع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حائز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متخصص  في النباتات</t>
    </r>
  </si>
  <si>
    <r>
      <rPr>
        <sz val="11"/>
        <color theme="1"/>
        <rFont val="Lohit Devanagari"/>
        <family val="2"/>
      </rPr>
      <t xml:space="preserve">فلح او مزارع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حائز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متخصص  في الفاكهه</t>
    </r>
  </si>
  <si>
    <r>
      <rPr>
        <sz val="11"/>
        <color theme="1"/>
        <rFont val="Lohit Devanagari"/>
        <family val="2"/>
      </rPr>
      <t xml:space="preserve">فلح او مزارع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حائز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متخصص  في المشاتل</t>
    </r>
  </si>
  <si>
    <r>
      <rPr>
        <sz val="11"/>
        <color theme="1"/>
        <rFont val="Lohit Devanagari"/>
        <family val="2"/>
      </rPr>
      <t xml:space="preserve">فلح او مزارع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حائز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Lohit Devanagari"/>
        <family val="2"/>
      </rPr>
      <t xml:space="preserve">متخصص  في تربيه الحيوان</t>
    </r>
  </si>
  <si>
    <r>
      <rPr>
        <sz val="11"/>
        <color theme="1"/>
        <rFont val="Lohit Devanagari"/>
        <family val="2"/>
      </rPr>
      <t xml:space="preserve">الفلحون والمزارعون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الحائزون</t>
    </r>
  </si>
  <si>
    <t xml:space="preserve">جناينـى</t>
  </si>
  <si>
    <r>
      <rPr>
        <sz val="11"/>
        <color theme="1"/>
        <rFont val="Lohit Devanagari"/>
        <family val="2"/>
      </rPr>
      <t xml:space="preserve">عامل زراعه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</si>
  <si>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r>
      <rPr>
        <sz val="11"/>
        <color theme="1"/>
        <rFont val="Lohit Devanagari"/>
        <family val="2"/>
      </rPr>
      <t xml:space="preserve">عامل تذريه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مدراوي</t>
    </r>
  </si>
  <si>
    <r>
      <rPr>
        <sz val="11"/>
        <color theme="1"/>
        <rFont val="Lohit Devanagari"/>
        <family val="2"/>
      </rPr>
      <t xml:space="preserve">عامل غربله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مغربلتي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مقرقر</t>
    </r>
  </si>
  <si>
    <r>
      <rPr>
        <sz val="11"/>
        <color theme="1"/>
        <rFont val="Lohit Devanagari"/>
        <family val="2"/>
      </rPr>
      <t xml:space="preserve">خولي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مورد انفار</t>
    </r>
  </si>
  <si>
    <t xml:space="preserve">عمال الزراعه غير المتخصصين</t>
  </si>
  <si>
    <t xml:space="preserve">عامل زراعه المحاصيل الحقليه</t>
  </si>
  <si>
    <t xml:space="preserve">عامل زراعه فاكهه</t>
  </si>
  <si>
    <t xml:space="preserve">بيع مستلزمات الديكور</t>
  </si>
  <si>
    <t xml:space="preserve">عامل تربيه حيوان  كلف</t>
  </si>
  <si>
    <r>
      <rPr>
        <sz val="11"/>
        <color theme="1"/>
        <rFont val="Lohit Devanagari"/>
        <family val="2"/>
      </rPr>
      <t xml:space="preserve">عامل تربيه اغنام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غنام</t>
    </r>
  </si>
  <si>
    <t xml:space="preserve">بيطار</t>
  </si>
  <si>
    <t xml:space="preserve">جساس  مواشي</t>
  </si>
  <si>
    <t xml:space="preserve">تومرجي بيطري</t>
  </si>
  <si>
    <t xml:space="preserve">قصاص  مواشي واغنام</t>
  </si>
  <si>
    <r>
      <rPr>
        <sz val="11"/>
        <color theme="1"/>
        <rFont val="Lohit Devanagari"/>
        <family val="2"/>
      </rPr>
      <t xml:space="preserve">عمال تربيه الحيوان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</si>
  <si>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r>
      <rPr>
        <sz val="11"/>
        <color theme="1"/>
        <rFont val="Lohit Devanagari"/>
        <family val="2"/>
      </rPr>
      <t xml:space="preserve">عامل مزرعه انتاج البان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</si>
  <si>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r>
      <rPr>
        <sz val="11"/>
        <color theme="1"/>
        <rFont val="Lohit Devanagari"/>
        <family val="2"/>
      </rPr>
      <t xml:space="preserve">عامل حلب ماشيه اللبن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حلب</t>
    </r>
  </si>
  <si>
    <r>
      <rPr>
        <sz val="11"/>
        <color theme="1"/>
        <rFont val="Lohit Devanagari"/>
        <family val="2"/>
      </rPr>
      <t xml:space="preserve">عمال مزارع انتاج اللبان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</si>
  <si>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r>
      <rPr>
        <sz val="11"/>
        <color theme="1"/>
        <rFont val="Lohit Devanagari"/>
        <family val="2"/>
      </rPr>
      <t xml:space="preserve">عامل مزرعه دواجن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</si>
  <si>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عامل معمل تفريخ الي</t>
  </si>
  <si>
    <t xml:space="preserve">عامل معمل تفريخ بلدي</t>
  </si>
  <si>
    <t xml:space="preserve">منسق زهور</t>
  </si>
  <si>
    <t xml:space="preserve">عامل مشتل</t>
  </si>
  <si>
    <t xml:space="preserve">عامل حدائق زينه</t>
  </si>
  <si>
    <t xml:space="preserve">سائق جرار زراعي</t>
  </si>
  <si>
    <t xml:space="preserve">عامل تشغيل ماكينه ري</t>
  </si>
  <si>
    <t xml:space="preserve">عامل تشغيل ماكينه دراس </t>
  </si>
  <si>
    <t xml:space="preserve">عامل تشغيل موتور رش </t>
  </si>
  <si>
    <t xml:space="preserve">عمال تشغيل اللت الزراعيه</t>
  </si>
  <si>
    <r>
      <rPr>
        <sz val="11"/>
        <color theme="1"/>
        <rFont val="Lohit Devanagari"/>
        <family val="2"/>
      </rPr>
      <t xml:space="preserve">نحال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ريس  نحل</t>
    </r>
  </si>
  <si>
    <t xml:space="preserve">مربي دوده القز</t>
  </si>
  <si>
    <t xml:space="preserve">عامل تبخير اشجار الفاكهه</t>
  </si>
  <si>
    <r>
      <rPr>
        <sz val="11"/>
        <color theme="1"/>
        <rFont val="Lohit Devanagari"/>
        <family val="2"/>
      </rPr>
      <t xml:space="preserve">عامل تجارب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ملحظ تجارب</t>
    </r>
  </si>
  <si>
    <r>
      <rPr>
        <sz val="11"/>
        <color theme="1"/>
        <rFont val="Lohit Devanagari"/>
        <family val="2"/>
      </rPr>
      <t xml:space="preserve">بحاري بهندسه الري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راصد مناسيب</t>
    </r>
  </si>
  <si>
    <r>
      <rPr>
        <sz val="11"/>
        <color theme="1"/>
        <rFont val="Lohit Devanagari"/>
        <family val="2"/>
      </rPr>
      <t xml:space="preserve">دلل مساحه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قياس </t>
    </r>
  </si>
  <si>
    <t xml:space="preserve">عمال الزراعه وتربيه الحيوان ومن اليهم</t>
  </si>
  <si>
    <t xml:space="preserve">صياد سمك شباك وبوص </t>
  </si>
  <si>
    <t xml:space="preserve">صياد سمك بمراكب اليه</t>
  </si>
  <si>
    <t xml:space="preserve">غطاس  اسفنج</t>
  </si>
  <si>
    <t xml:space="preserve">صياد المحار والقشريات</t>
  </si>
  <si>
    <r>
      <rPr>
        <sz val="11"/>
        <color theme="1"/>
        <rFont val="Lohit Devanagari"/>
        <family val="2"/>
      </rPr>
      <t xml:space="preserve">صيادو البحر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</si>
  <si>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صياد بر</t>
  </si>
  <si>
    <t xml:space="preserve">صياد طيور</t>
  </si>
  <si>
    <t xml:space="preserve">رئيس  حرفيين</t>
  </si>
  <si>
    <t xml:space="preserve">ملحـظ اومشرف</t>
  </si>
  <si>
    <t xml:space="preserve">ملحظ كهرباء</t>
  </si>
  <si>
    <t xml:space="preserve">ملحظ صيانه</t>
  </si>
  <si>
    <t xml:space="preserve">ملحظ مرافق</t>
  </si>
  <si>
    <t xml:space="preserve">ملحظ ميكانيكى معدات</t>
  </si>
  <si>
    <t xml:space="preserve">ملحظ اومشرف في استخراج الفحم</t>
  </si>
  <si>
    <t xml:space="preserve">مشرف كهرباء</t>
  </si>
  <si>
    <t xml:space="preserve">ملحظ اومشرف في استخراج الحديد</t>
  </si>
  <si>
    <t xml:space="preserve">ملحظ او مشرف في استخراج المواد</t>
  </si>
  <si>
    <t xml:space="preserve">ملحظ اومشرف في عمليات البترول</t>
  </si>
  <si>
    <t xml:space="preserve">ملحظ اومشرف في حفر البترول</t>
  </si>
  <si>
    <t xml:space="preserve">ملحظ اومشرف في عمليات المحاجر</t>
  </si>
  <si>
    <t xml:space="preserve">ملحظ اومشرف في عمليات الملحات</t>
  </si>
  <si>
    <t xml:space="preserve">ملحظ اومشرف في حفر ابار المياه</t>
  </si>
  <si>
    <t xml:space="preserve">ملحظ صب مستمر</t>
  </si>
  <si>
    <t xml:space="preserve">ملحظ اومشرف في الفرن العالي</t>
  </si>
  <si>
    <t xml:space="preserve">ملحظ اومشرف في افران تحضير الصلب</t>
  </si>
  <si>
    <t xml:space="preserve">ملحظ اومشرف في افران تحضير المعادن</t>
  </si>
  <si>
    <t xml:space="preserve">ملحظ اومشرف في درفله المعادن</t>
  </si>
  <si>
    <t xml:space="preserve">ملحظ اومشرف في افران صهر المعادن</t>
  </si>
  <si>
    <t xml:space="preserve">ملحظ اومشرف في سباكه المعادن</t>
  </si>
  <si>
    <t xml:space="preserve">ملحظ اومشرف في المعالجه الحراريه</t>
  </si>
  <si>
    <t xml:space="preserve">ملحظ او مشرف حراريات</t>
  </si>
  <si>
    <t xml:space="preserve">ملحظ اومشرف في سحب المعادن</t>
  </si>
  <si>
    <t xml:space="preserve">ملحظ اومشرف في طلء المعادن</t>
  </si>
  <si>
    <t xml:space="preserve">فنى صناعه منظفات كيماوية</t>
  </si>
  <si>
    <t xml:space="preserve">ملحظ اومشرف في الصناعات الكيماويه</t>
  </si>
  <si>
    <t xml:space="preserve">ملحظ اومشرف في صناعه السمنت</t>
  </si>
  <si>
    <t xml:space="preserve">ملحظ اومشرف في تكرير البترول</t>
  </si>
  <si>
    <t xml:space="preserve">مصمم خطوط انابيب بترول</t>
  </si>
  <si>
    <t xml:space="preserve">ملحظ تشغيل</t>
  </si>
  <si>
    <t xml:space="preserve">ملحظ اومشرف في تشغيل واصلح المنتجات المعدنيه</t>
  </si>
  <si>
    <t xml:space="preserve">ملحظ اومشرف في اعمال البراده</t>
  </si>
  <si>
    <t xml:space="preserve">ملحظ اومشرف في تشغيل ماكينات</t>
  </si>
  <si>
    <t xml:space="preserve">ملحظ اومشرف في الحداده</t>
  </si>
  <si>
    <t xml:space="preserve">ملحظ اومشرف في اللحام</t>
  </si>
  <si>
    <t xml:space="preserve">مساعد لحام</t>
  </si>
  <si>
    <t xml:space="preserve">ملحظ اومشرف في اشغال الصاج</t>
  </si>
  <si>
    <t xml:space="preserve">ملحظ اومشرف في صناعه السيارات</t>
  </si>
  <si>
    <t xml:space="preserve">مشرف سمكرة</t>
  </si>
  <si>
    <t xml:space="preserve">ملحظ اومشرف في صناعه الموتسيكلت</t>
  </si>
  <si>
    <t xml:space="preserve">ملحظ اومشرف في صناعه الطائرات</t>
  </si>
  <si>
    <t xml:space="preserve">ملحظ اومشرف في صناعه النقل</t>
  </si>
  <si>
    <t xml:space="preserve">ملحظ اومشرف في صناعه واصلح السفن</t>
  </si>
  <si>
    <t xml:space="preserve">ملحظ اومشرف في صناعه الماكينات عدا الكهربائيه</t>
  </si>
  <si>
    <t xml:space="preserve">ملحظ اومشرف في صناعه الجهزه</t>
  </si>
  <si>
    <t xml:space="preserve">ملحظ اومشرف في التصوير والبصريات</t>
  </si>
  <si>
    <t xml:space="preserve">ملحظ اومشرف في صناعه الماكينات الكهربائيه</t>
  </si>
  <si>
    <t xml:space="preserve">ملحظ اومشرف في صناعه المعدات الكهربائيه</t>
  </si>
  <si>
    <t xml:space="preserve">ملحظ اومشرف عام ميكانيكا تبريد وتكييف</t>
  </si>
  <si>
    <t xml:space="preserve">ملحظ اومشرف في منتجات المطاط</t>
  </si>
  <si>
    <t xml:space="preserve">ملحظ اومشرف في منتجات البلستيك</t>
  </si>
  <si>
    <t xml:space="preserve">ملحظ اومشرف في منتجات الورق</t>
  </si>
  <si>
    <t xml:space="preserve">ملحظ اومشرف في المواد التركيبيه</t>
  </si>
  <si>
    <t xml:space="preserve">ملحظ اومشرف في ذبح وحفظ اللحوم</t>
  </si>
  <si>
    <t xml:space="preserve">ملحظ اومشرف في صناعه اللبان</t>
  </si>
  <si>
    <t xml:space="preserve">ملحظ اومشرف في تعليب الخضروات والفاكهه</t>
  </si>
  <si>
    <t xml:space="preserve">ملحظ اومشرف في تعليب السماك</t>
  </si>
  <si>
    <t xml:space="preserve">ملحظ اومشرف في طحن الغلل</t>
  </si>
  <si>
    <t xml:space="preserve">ملحظ اومشرف في صناعه الخبز</t>
  </si>
  <si>
    <t xml:space="preserve">ملحظ اومشرف في صناعه السكر</t>
  </si>
  <si>
    <t xml:space="preserve">ملحظ اومشرف في صناعه الشيكولته والحلوي</t>
  </si>
  <si>
    <t xml:space="preserve">ملحظ اومشرف في المنتجات الغذائيه</t>
  </si>
  <si>
    <t xml:space="preserve">ملحظ او مشرف في تقطير المشروبات</t>
  </si>
  <si>
    <t xml:space="preserve">ملحظ او مشرف في صناعه المشروبات</t>
  </si>
  <si>
    <t xml:space="preserve">ملحظ او مشرف في صناعه الزيتون</t>
  </si>
  <si>
    <t xml:space="preserve">ملحظ او مشرف في صناعه غزل ونسيج</t>
  </si>
  <si>
    <t xml:space="preserve">ملحظ او مشرف في صناعه غزل الحرير</t>
  </si>
  <si>
    <t xml:space="preserve">ملحظ او مشرف في صناعه التريكو</t>
  </si>
  <si>
    <t xml:space="preserve">ملحظ او مشرف في صباغه وتجهيز المنسوجات</t>
  </si>
  <si>
    <t xml:space="preserve">ملحظ او مشرف في صناعه الحبال</t>
  </si>
  <si>
    <t xml:space="preserve">ملحظ او مشرف في صناعه الملبس </t>
  </si>
  <si>
    <t xml:space="preserve">ملحظ او مشرف في عمليات المبانى</t>
  </si>
  <si>
    <t xml:space="preserve">ملحظ او مشرف في عمليات النشاء</t>
  </si>
  <si>
    <t xml:space="preserve">ملحظ او مشرف في عمليات التركيبات الصحيه</t>
  </si>
  <si>
    <t xml:space="preserve">ملحظ او مشرف في عمليات توليدكهرباء</t>
  </si>
  <si>
    <t xml:space="preserve">ملحظ او مشرف في عمليات انتاح الغاز</t>
  </si>
  <si>
    <t xml:space="preserve">ملحظ او مشرف في عمليات تنقيه المياه</t>
  </si>
  <si>
    <t xml:space="preserve">ملحظ او مشرف في عمليات انتاج البخار</t>
  </si>
  <si>
    <t xml:space="preserve">مشرف محطات تحلية مياه</t>
  </si>
  <si>
    <t xml:space="preserve">ملحظ او مشرف عمليات المصنوعات الخشبيه</t>
  </si>
  <si>
    <t xml:space="preserve">ملحظ او مشرف في عجينه الورق</t>
  </si>
  <si>
    <t xml:space="preserve">ملحظ او مشرف دباغه وتجهيز الجلود</t>
  </si>
  <si>
    <t xml:space="preserve">ملحظ او مشرف في صناعه منتجات الدخان</t>
  </si>
  <si>
    <t xml:space="preserve">ملحظ او مشرف في صناعه الحذيه</t>
  </si>
  <si>
    <t xml:space="preserve">ملحظ او مشرف في صناعه منتجات الجلود</t>
  </si>
  <si>
    <t xml:space="preserve">ملحظ او مشرف في عمليات قطع وتشكيل الحجار</t>
  </si>
  <si>
    <t xml:space="preserve">ملحظ او مشرف في صناعه المنتجات الزجاجيه</t>
  </si>
  <si>
    <t xml:space="preserve">ملحظ او مشرف في صناعه الخزف والصيني</t>
  </si>
  <si>
    <t xml:space="preserve">ملحظ او مشرف في الطباعه</t>
  </si>
  <si>
    <t xml:space="preserve">ملحظ او مشرف في صناعه مواد البناء</t>
  </si>
  <si>
    <t xml:space="preserve">ملحظ او مشرف في عمليات التخزين</t>
  </si>
  <si>
    <t xml:space="preserve">ملحظ او مشرف في عمليات المجاري</t>
  </si>
  <si>
    <t xml:space="preserve">مشرف بقسم الكاميرات والمراقبة الداخلية</t>
  </si>
  <si>
    <t xml:space="preserve">ملحظ مناولة خامات</t>
  </si>
  <si>
    <r>
      <rPr>
        <sz val="11"/>
        <color theme="1"/>
        <rFont val="Lohit Devanagari"/>
        <family val="2"/>
      </rPr>
      <t xml:space="preserve">الملحظون والمشرفون علي النتاج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</si>
  <si>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فنى تبريد وتكييف</t>
  </si>
  <si>
    <t xml:space="preserve">فنـى دهانات</t>
  </si>
  <si>
    <t xml:space="preserve">فنى دوكو اول</t>
  </si>
  <si>
    <t xml:space="preserve">فنى خراط معادن</t>
  </si>
  <si>
    <t xml:space="preserve">فنى مكابس </t>
  </si>
  <si>
    <t xml:space="preserve">حفــار</t>
  </si>
  <si>
    <t xml:space="preserve">حفار آبار مياه</t>
  </si>
  <si>
    <r>
      <rPr>
        <sz val="11"/>
        <color theme="1"/>
        <rFont val="Lohit Devanagari"/>
        <family val="2"/>
      </rPr>
      <t xml:space="preserve">عامل مناجم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</si>
  <si>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r>
      <rPr>
        <sz val="11"/>
        <color theme="1"/>
        <rFont val="Lohit Devanagari"/>
        <family val="2"/>
      </rPr>
      <t xml:space="preserve">عامل محاجر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</si>
  <si>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عامل تشغيل الت القطع بالمناجم</t>
  </si>
  <si>
    <t xml:space="preserve">عامل تشغيل ماكينه الثقب بالمحجر</t>
  </si>
  <si>
    <t xml:space="preserve">عامل تفجير</t>
  </si>
  <si>
    <t xml:space="preserve">عامل صلب المغارات تحت سطح الرض </t>
  </si>
  <si>
    <t xml:space="preserve">عامل جمع العينات في المناجم</t>
  </si>
  <si>
    <r>
      <rPr>
        <sz val="11"/>
        <color theme="1"/>
        <rFont val="Lohit Devanagari"/>
        <family val="2"/>
      </rPr>
      <t xml:space="preserve">عمال المناجم والمحاجر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</si>
  <si>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حجار يعمل بالة كهربائية</t>
  </si>
  <si>
    <t xml:space="preserve">عامل تقطيع الحجار</t>
  </si>
  <si>
    <t xml:space="preserve">عامل تشغيل كسارات مستخرجات التعدين</t>
  </si>
  <si>
    <t xml:space="preserve">عامل تشغيل ماكينه فصل الركاز</t>
  </si>
  <si>
    <t xml:space="preserve">عامل تشغيل ماكينه التنقيه بطريقه التعويم</t>
  </si>
  <si>
    <t xml:space="preserve">عامل ترسيب</t>
  </si>
  <si>
    <t xml:space="preserve">عامل معالجه الذهب والفضه بطريقه السينده</t>
  </si>
  <si>
    <r>
      <rPr>
        <sz val="11"/>
        <color theme="1"/>
        <rFont val="Lohit Devanagari"/>
        <family val="2"/>
      </rPr>
      <t xml:space="preserve">جيار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صنع الجير</t>
    </r>
  </si>
  <si>
    <t xml:space="preserve">عمال معمـل معالجه مستخرجات المناجم</t>
  </si>
  <si>
    <r>
      <rPr>
        <sz val="11"/>
        <color theme="1"/>
        <rFont val="Lohit Devanagari"/>
        <family val="2"/>
      </rPr>
      <t xml:space="preserve">عامل تشغيل البرج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البرج</t>
    </r>
  </si>
  <si>
    <t xml:space="preserve">عامل تشغيل بريمه ابار البترول</t>
  </si>
  <si>
    <t xml:space="preserve">عامل تشغيل ماكينه الثقب بالحبل</t>
  </si>
  <si>
    <t xml:space="preserve">عامل تغليف ابار البترول والغاز</t>
  </si>
  <si>
    <t xml:space="preserve">عامل معالجه ابار البترول بالحامض </t>
  </si>
  <si>
    <r>
      <rPr>
        <sz val="11"/>
        <color theme="1"/>
        <rFont val="Lohit Devanagari"/>
        <family val="2"/>
      </rPr>
      <t xml:space="preserve">عمال حفر البار ومن اليهم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</si>
  <si>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الفرن العالي</t>
  </si>
  <si>
    <t xml:space="preserve">عامل فرن الختزال الكهربائي</t>
  </si>
  <si>
    <t xml:space="preserve">عامل فرن مارتن للصلب</t>
  </si>
  <si>
    <t xml:space="preserve">عامل محولت بسمر او توماس  للصلب</t>
  </si>
  <si>
    <t xml:space="preserve">عامل الفرن الكهربائي للصلب</t>
  </si>
  <si>
    <t xml:space="preserve">عامل فرن لتحويل وتنقيه المعادن</t>
  </si>
  <si>
    <t xml:space="preserve">عامل غليات</t>
  </si>
  <si>
    <t xml:space="preserve">عمال افران تحويل وتنقيه المعادن</t>
  </si>
  <si>
    <t xml:space="preserve">عامل تشغيل ماكينه درفله معادن حديد صلب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</si>
  <si>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تشغيل ماكينه درفله معادن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غير حديد</t>
    </r>
  </si>
  <si>
    <t xml:space="preserve">عامل تشغيل ماكينه مستمره لدرفله المعادن</t>
  </si>
  <si>
    <t xml:space="preserve">عامل تشغيل ماكينه درفله المعادن علي البارد</t>
  </si>
  <si>
    <t xml:space="preserve">عامل تشغيل ماكينه سحب مواسير وانابيب</t>
  </si>
  <si>
    <t xml:space="preserve">عامل تشغيل اجهزه الضبط في ماكينات الدرفله</t>
  </si>
  <si>
    <t xml:space="preserve">عمال تشغيل ماكينات درفله المعادن</t>
  </si>
  <si>
    <t xml:space="preserve">عامل فرن الدست لصهر المعادن</t>
  </si>
  <si>
    <t xml:space="preserve">عامل فرن ذي الشاروقه لصهر المعادن</t>
  </si>
  <si>
    <t xml:space="preserve">عامل فرن صهر المعادن بالقوس </t>
  </si>
  <si>
    <t xml:space="preserve">عامل فرن بوتقه لصهر المعادن</t>
  </si>
  <si>
    <r>
      <rPr>
        <sz val="11"/>
        <color theme="1"/>
        <rFont val="Lohit Devanagari"/>
        <family val="2"/>
      </rPr>
      <t xml:space="preserve">عامل فرن عاكس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ريفيراتوري</t>
    </r>
  </si>
  <si>
    <t xml:space="preserve">عامل فرن تسخين المعادن</t>
  </si>
  <si>
    <t xml:space="preserve">عمال صهر المعادن واعاده تسخينها</t>
  </si>
  <si>
    <t xml:space="preserve">عامل صب معادن</t>
  </si>
  <si>
    <t xml:space="preserve">عامل ماكينه صب المعادن بطريقه الطرد المركزي</t>
  </si>
  <si>
    <t xml:space="preserve">عامل ماكينه صب المعادن في قوالب</t>
  </si>
  <si>
    <t xml:space="preserve">عامل ماكينه صب المعادن غير الحديد</t>
  </si>
  <si>
    <r>
      <rPr>
        <sz val="11"/>
        <color theme="1"/>
        <rFont val="Lohit Devanagari"/>
        <family val="2"/>
      </rPr>
      <t xml:space="preserve">عمال صب المعادن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</si>
  <si>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سباك صحى</t>
  </si>
  <si>
    <r>
      <rPr>
        <sz val="11"/>
        <color theme="1"/>
        <rFont val="Lohit Devanagari"/>
        <family val="2"/>
      </rPr>
      <t xml:space="preserve">سباك معادن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</si>
  <si>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سباك معادن باليد</t>
  </si>
  <si>
    <t xml:space="preserve">سباك معادن بالماكينه</t>
  </si>
  <si>
    <t xml:space="preserve">صانع دليك للسباكه باليد</t>
  </si>
  <si>
    <t xml:space="preserve">صانع دليك للسباكه بالماكينه</t>
  </si>
  <si>
    <t xml:space="preserve">سباكو المعادن وصانعو الدلليك</t>
  </si>
  <si>
    <t xml:space="preserve">عامل تخمير</t>
  </si>
  <si>
    <t xml:space="preserve">عامل تقسيه المعادن</t>
  </si>
  <si>
    <t xml:space="preserve">عامل تقسيه المعادن بالتغليف</t>
  </si>
  <si>
    <t xml:space="preserve">عامل مراجعه حراريه للمعادن</t>
  </si>
  <si>
    <t xml:space="preserve">عامل براد عده وضبعه عام</t>
  </si>
  <si>
    <r>
      <rPr>
        <sz val="11"/>
        <color theme="1"/>
        <rFont val="Lohit Devanagari"/>
        <family val="2"/>
      </rPr>
      <t xml:space="preserve">عمال المعامله الحراريه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</si>
  <si>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r>
      <rPr>
        <sz val="11"/>
        <color theme="1"/>
        <rFont val="Lohit Devanagari"/>
        <family val="2"/>
      </rPr>
      <t xml:space="preserve">عامل سحب المعادن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</si>
  <si>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عامل ماكينه سحب سلك بدار باليد</t>
  </si>
  <si>
    <t xml:space="preserve">عامل ماكينه سحب بالقوي الكهربائيه</t>
  </si>
  <si>
    <t xml:space="preserve">عامل ماكينه سحب مواسير بدون لحام</t>
  </si>
  <si>
    <r>
      <rPr>
        <sz val="11"/>
        <color theme="1"/>
        <rFont val="Lohit Devanagari"/>
        <family val="2"/>
      </rPr>
      <t xml:space="preserve">عمال سحب المعادن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</si>
  <si>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r>
      <rPr>
        <sz val="11"/>
        <color theme="1"/>
        <rFont val="Lohit Devanagari"/>
        <family val="2"/>
      </rPr>
      <t xml:space="preserve">عامل طلء معادن بالكهرباء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</si>
  <si>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عامل طلء معادن بالغمس </t>
  </si>
  <si>
    <t xml:space="preserve">عامل تشغيل ماكينه طلء السلك</t>
  </si>
  <si>
    <t xml:space="preserve">عامل رش  معادن منصهره</t>
  </si>
  <si>
    <t xml:space="preserve">عامل طلء الواني النحاسيه بالقصدير</t>
  </si>
  <si>
    <r>
      <rPr>
        <sz val="11"/>
        <color theme="1"/>
        <rFont val="Lohit Devanagari"/>
        <family val="2"/>
      </rPr>
      <t xml:space="preserve">عمال طلء المعادن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</si>
  <si>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تنظيف المعادن بالرش  بالرمل</t>
  </si>
  <si>
    <t xml:space="preserve">عامل تلميع معادن بالفرشه</t>
  </si>
  <si>
    <r>
      <rPr>
        <sz val="11"/>
        <color theme="1"/>
        <rFont val="Lohit Devanagari"/>
        <family val="2"/>
      </rPr>
      <t xml:space="preserve">عمال تجهيز المعادن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تشغيل وتهيئه</t>
    </r>
  </si>
  <si>
    <t xml:space="preserve">عامل تجفيف الخشب</t>
  </si>
  <si>
    <t xml:space="preserve">عامل معالجه الخشب بالقطران او غيره</t>
  </si>
  <si>
    <r>
      <rPr>
        <sz val="11"/>
        <color theme="1"/>
        <rFont val="Lohit Devanagari"/>
        <family val="2"/>
      </rPr>
      <t xml:space="preserve">عمال معالجه الخشاب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الخام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</si>
  <si>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منشار ميكانيكي لقطع الشجار</t>
  </si>
  <si>
    <t xml:space="preserve">عامل منشار يدوي لقطع الشجار</t>
  </si>
  <si>
    <t xml:space="preserve">عامل تشغيل ماكينه قطع القشره</t>
  </si>
  <si>
    <t xml:space="preserve">عامل تشغيل ماكينه كبس  البلكاش </t>
  </si>
  <si>
    <t xml:space="preserve">عامل تشغيل ماكينه صنع الخشبالحبيبي</t>
  </si>
  <si>
    <t xml:space="preserve">فراز خشب</t>
  </si>
  <si>
    <t xml:space="preserve">عمال نشر الخشاب وصنع البلكاشي</t>
  </si>
  <si>
    <t xml:space="preserve">عامل تشغيل ماكينه لب الخشب</t>
  </si>
  <si>
    <t xml:space="preserve">عامل ماكينه هضم عجينه الورق</t>
  </si>
  <si>
    <t xml:space="preserve">عامل ماكينه تبيضي عجينه الورق</t>
  </si>
  <si>
    <t xml:space="preserve">عامل ماكينه ضرب عجينه الورق</t>
  </si>
  <si>
    <r>
      <rPr>
        <sz val="11"/>
        <color theme="1"/>
        <rFont val="Lohit Devanagari"/>
        <family val="2"/>
      </rPr>
      <t xml:space="preserve">عمال تحضير عجينه الورق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</si>
  <si>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r>
      <rPr>
        <sz val="11"/>
        <color theme="1"/>
        <rFont val="Lohit Devanagari"/>
        <family val="2"/>
      </rPr>
      <t xml:space="preserve">عامل ماكينه صنع الورق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عدد المدخل</t>
    </r>
  </si>
  <si>
    <r>
      <rPr>
        <sz val="11"/>
        <color theme="1"/>
        <rFont val="Lohit Devanagari"/>
        <family val="2"/>
      </rPr>
      <t xml:space="preserve">عامل ماكينه صنع الورق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عدد المخرج</t>
    </r>
  </si>
  <si>
    <t xml:space="preserve">عامل ماكينه في صناعه الورق</t>
  </si>
  <si>
    <t xml:space="preserve">عامل ماكينه صقل الورق وتلميعه</t>
  </si>
  <si>
    <t xml:space="preserve">صانع الورق باليد</t>
  </si>
  <si>
    <r>
      <rPr>
        <sz val="11"/>
        <color theme="1"/>
        <rFont val="Lohit Devanagari"/>
        <family val="2"/>
      </rPr>
      <t xml:space="preserve">عمال صنع الورق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</si>
  <si>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ماكينه حرشي للعملياتالكيماويه</t>
  </si>
  <si>
    <t xml:space="preserve">عامل ماكينه طبخ العمليات الكيماويه</t>
  </si>
  <si>
    <t xml:space="preserve">عامل ماكينه الخلط في العمليات الكيماويه</t>
  </si>
  <si>
    <r>
      <rPr>
        <sz val="11"/>
        <color theme="1"/>
        <rFont val="Lohit Devanagari"/>
        <family val="2"/>
      </rPr>
      <t xml:space="preserve">عمال الحرشي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التكسير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</si>
  <si>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الطبخ في العمليات الكيماويه</t>
  </si>
  <si>
    <t xml:space="preserve">عامل التحميص  في العمليات الكيماويه</t>
  </si>
  <si>
    <t xml:space="preserve">عامل الفران في العمليات الكيماويه</t>
  </si>
  <si>
    <t xml:space="preserve">عامل تشغيل فرن صناعه الجرافيت</t>
  </si>
  <si>
    <t xml:space="preserve">عامل تشغيل فرن صناعه السمنت</t>
  </si>
  <si>
    <r>
      <rPr>
        <sz val="11"/>
        <color theme="1"/>
        <rFont val="Lohit Devanagari"/>
        <family val="2"/>
      </rPr>
      <t xml:space="preserve">عمال الطبخ والتحميص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</si>
  <si>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تشغيل جهاز ترشيح بالضغط</t>
  </si>
  <si>
    <t xml:space="preserve">عامل جهاز ترشيح بالطنبور الدائري</t>
  </si>
  <si>
    <t xml:space="preserve">عامل جهاز فصل القوه الطارده</t>
  </si>
  <si>
    <t xml:space="preserve">عامل تنقيه الزيت الخام من الرمل والماء</t>
  </si>
  <si>
    <r>
      <rPr>
        <sz val="11"/>
        <color theme="1"/>
        <rFont val="Lohit Devanagari"/>
        <family val="2"/>
      </rPr>
      <t xml:space="preserve">عمال الترشيح والفصل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</si>
  <si>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جهاز تقطير متقطع للمواد</t>
  </si>
  <si>
    <t xml:space="preserve">عامل جهاز تقطير مستمر للمواد</t>
  </si>
  <si>
    <t xml:space="preserve">عامل تفاعل للمواد الكيماويه</t>
  </si>
  <si>
    <t xml:space="preserve">عامل تشغيل جهاز تبخير</t>
  </si>
  <si>
    <t xml:space="preserve">عامل تشغيل جهاز تقطير الخشب</t>
  </si>
  <si>
    <t xml:space="preserve">عمال اجهزه التقطير والتفاعلت</t>
  </si>
  <si>
    <t xml:space="preserve">عامل جهاز الخام لتخليصه من الكبريت</t>
  </si>
  <si>
    <t xml:space="preserve">عامل طلمبات في صناعه تكريرالبترول</t>
  </si>
  <si>
    <t xml:space="preserve">عامل تقطير في صناعه تكرير البترول</t>
  </si>
  <si>
    <t xml:space="preserve">عامل التحكيم في صناعه تكرير البترول</t>
  </si>
  <si>
    <t xml:space="preserve">عامل خلط في صناعه تكرير البترول</t>
  </si>
  <si>
    <t xml:space="preserve">عامل خلط السفلت في صناعه تكرير البترول</t>
  </si>
  <si>
    <t xml:space="preserve">عامل برج برافينات في صناعه البترول</t>
  </si>
  <si>
    <r>
      <rPr>
        <sz val="11"/>
        <color theme="1"/>
        <rFont val="Lohit Devanagari"/>
        <family val="2"/>
      </rPr>
      <t xml:space="preserve">عمال تكرير البترول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</si>
  <si>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توزيع وتركيب اسطوانة غاز</t>
  </si>
  <si>
    <t xml:space="preserve">عامل مامينه خلط وتسخين المطاط</t>
  </si>
  <si>
    <t xml:space="preserve">عامل تحضير فحم الكوك</t>
  </si>
  <si>
    <t xml:space="preserve">عامل صناعه غاز الفحم</t>
  </si>
  <si>
    <t xml:space="preserve">عامل تقطير الفحم النباتي والبلدي</t>
  </si>
  <si>
    <t xml:space="preserve">عامل صنع اللفاف الصناعيه</t>
  </si>
  <si>
    <t xml:space="preserve">عامل في العمليات الكيماويه للمواد</t>
  </si>
  <si>
    <t xml:space="preserve">عامل استخلص  الروائح العطريه</t>
  </si>
  <si>
    <t xml:space="preserve">عامل قمينه لنتاج الفحم النباتي</t>
  </si>
  <si>
    <t xml:space="preserve">محضر معمل في العمليات الكيماويه</t>
  </si>
  <si>
    <r>
      <rPr>
        <sz val="11"/>
        <color theme="1"/>
        <rFont val="Lohit Devanagari"/>
        <family val="2"/>
      </rPr>
      <t xml:space="preserve">عمال العمليات الكيماويه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</si>
  <si>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فرز قطن</t>
  </si>
  <si>
    <t xml:space="preserve">عامل فرز كتان</t>
  </si>
  <si>
    <t xml:space="preserve">عامل فرز صوف</t>
  </si>
  <si>
    <t xml:space="preserve">عامل غسيل الصوف</t>
  </si>
  <si>
    <t xml:space="preserve">عامل خلط وتوليف اللياف</t>
  </si>
  <si>
    <t xml:space="preserve">عامل ماكينه تنظيف القطن  عامل فرفره</t>
  </si>
  <si>
    <r>
      <rPr>
        <sz val="11"/>
        <color theme="1"/>
        <rFont val="Lohit Devanagari"/>
        <family val="2"/>
      </rPr>
      <t xml:space="preserve">عامل ماكينه تسريح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كرد</t>
    </r>
  </si>
  <si>
    <t xml:space="preserve">عامل ماكينه تمشيط</t>
  </si>
  <si>
    <t xml:space="preserve">عامل لف</t>
  </si>
  <si>
    <t xml:space="preserve">عامل سحب</t>
  </si>
  <si>
    <t xml:space="preserve">عامل برم</t>
  </si>
  <si>
    <r>
      <rPr>
        <sz val="11"/>
        <color theme="1"/>
        <rFont val="Lohit Devanagari"/>
        <family val="2"/>
      </rPr>
      <t xml:space="preserve">عمال تجهيز اللياف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</si>
  <si>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غزل</t>
  </si>
  <si>
    <t xml:space="preserve">عامل تطبيق</t>
  </si>
  <si>
    <t xml:space="preserve">عامل زوي</t>
  </si>
  <si>
    <r>
      <rPr>
        <sz val="11"/>
        <color theme="1"/>
        <rFont val="Lohit Devanagari"/>
        <family val="2"/>
      </rPr>
      <t xml:space="preserve">عامل تدوير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خيوط غزل</t>
    </r>
  </si>
  <si>
    <r>
      <rPr>
        <sz val="11"/>
        <color theme="1"/>
        <rFont val="Lohit Devanagari"/>
        <family val="2"/>
      </rPr>
      <t xml:space="preserve">عامل شلل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لوزنه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كون</t>
    </r>
  </si>
  <si>
    <r>
      <rPr>
        <sz val="11"/>
        <color theme="1"/>
        <rFont val="Lohit Devanagari"/>
        <family val="2"/>
      </rPr>
      <t xml:space="preserve">عمال الغزل والتدوير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</si>
  <si>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ميكانيكي توضيب النوال</t>
  </si>
  <si>
    <t xml:space="preserve">ميكانيكي توضيب نول الجكارد</t>
  </si>
  <si>
    <t xml:space="preserve">ميكانيكي توضيب ماكينات التريكو</t>
  </si>
  <si>
    <t xml:space="preserve">عامل نقل رسومات الجكارد علي الورق</t>
  </si>
  <si>
    <t xml:space="preserve">عامل تقطيع كرتون الجكارد</t>
  </si>
  <si>
    <t xml:space="preserve">عمال ضبط واعداد ماكينات النسيج</t>
  </si>
  <si>
    <t xml:space="preserve">عامل بوش </t>
  </si>
  <si>
    <t xml:space="preserve">عامل مطواه السداه</t>
  </si>
  <si>
    <t xml:space="preserve">عامل تبريز المطواه باليد</t>
  </si>
  <si>
    <t xml:space="preserve">عامل تبريز المطواه بالماكينه</t>
  </si>
  <si>
    <t xml:space="preserve">طباع منسوجات</t>
  </si>
  <si>
    <t xml:space="preserve">نساج</t>
  </si>
  <si>
    <t xml:space="preserve">عامل نسيج قماش  علي نول يدوي</t>
  </si>
  <si>
    <t xml:space="preserve">عامل نسيج قماش  علي نول ميكانيكي</t>
  </si>
  <si>
    <t xml:space="preserve">عامل نسيج نول جكارد</t>
  </si>
  <si>
    <t xml:space="preserve">عامل نسيج اشرطه</t>
  </si>
  <si>
    <t xml:space="preserve">عامل نسيج سجاد علي نول يدوي</t>
  </si>
  <si>
    <t xml:space="preserve">عامل نسيج سجاد علي نول ميكانيكي</t>
  </si>
  <si>
    <t xml:space="preserve">عامل نسيج كليم</t>
  </si>
  <si>
    <r>
      <rPr>
        <sz val="11"/>
        <color theme="1"/>
        <rFont val="Lohit Devanagari"/>
        <family val="2"/>
      </rPr>
      <t xml:space="preserve">عامل نسيج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صنع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بطاطين</t>
    </r>
  </si>
  <si>
    <r>
      <rPr>
        <sz val="11"/>
        <color theme="1"/>
        <rFont val="Lohit Devanagari"/>
        <family val="2"/>
      </rPr>
      <t xml:space="preserve">عامل فحص  منسوجات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فرز</t>
    </r>
  </si>
  <si>
    <t xml:space="preserve">عامل اصلح عيوب المنسوجات</t>
  </si>
  <si>
    <r>
      <rPr>
        <sz val="11"/>
        <color theme="1"/>
        <rFont val="Lohit Devanagari"/>
        <family val="2"/>
      </rPr>
      <t xml:space="preserve">عمال النسيج ومن اليهم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</si>
  <si>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تشغيل ماكينه تريكو سطح</t>
  </si>
  <si>
    <t xml:space="preserve">عامل تشغيل ماكينه تريكو دائري</t>
  </si>
  <si>
    <t xml:space="preserve">عامل تشغيل ماكينه تريكو يدوي</t>
  </si>
  <si>
    <t xml:space="preserve">عامل تريكو باليد</t>
  </si>
  <si>
    <r>
      <rPr>
        <sz val="11"/>
        <color theme="1"/>
        <rFont val="Lohit Devanagari"/>
        <family val="2"/>
      </rPr>
      <t xml:space="preserve">عمال التريكو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</si>
  <si>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تبيض  منسوجات</t>
  </si>
  <si>
    <t xml:space="preserve">عامل صباغه خيوط</t>
  </si>
  <si>
    <t xml:space="preserve">عامل صباغه اقمشه</t>
  </si>
  <si>
    <t xml:space="preserve">عامل ازاله صمغ الحرير الطبيعي</t>
  </si>
  <si>
    <t xml:space="preserve">عامل تشغيل ماكينه ترطيب</t>
  </si>
  <si>
    <t xml:space="preserve">عامل كرينه المنسوجات الصوفيه</t>
  </si>
  <si>
    <t xml:space="preserve">عامل تشغيل ماكينه تلبيد الصوف</t>
  </si>
  <si>
    <t xml:space="preserve">عامل تنشيه المنسوجات</t>
  </si>
  <si>
    <r>
      <rPr>
        <sz val="11"/>
        <color theme="1"/>
        <rFont val="Lohit Devanagari"/>
        <family val="2"/>
      </rPr>
      <t xml:space="preserve">عامل كستره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وبره الكستور</t>
    </r>
  </si>
  <si>
    <t xml:space="preserve">عامل حرق الوبره</t>
  </si>
  <si>
    <t xml:space="preserve">عامل معالجه المنسوجات ضد المياه</t>
  </si>
  <si>
    <t xml:space="preserve">عامل معالجه المنسوجات لمنع النكماش </t>
  </si>
  <si>
    <t xml:space="preserve">عامل تشغيل ماكينه تشطيب المنسوجات</t>
  </si>
  <si>
    <r>
      <rPr>
        <sz val="11"/>
        <color theme="1"/>
        <rFont val="Lohit Devanagari"/>
        <family val="2"/>
      </rPr>
      <t xml:space="preserve">عمال التبييض  والصباغه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</si>
  <si>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جدل باليد</t>
  </si>
  <si>
    <t xml:space="preserve">عامل جدل بالماكينه</t>
  </si>
  <si>
    <t xml:space="preserve">عامل كروشيه باليد</t>
  </si>
  <si>
    <t xml:space="preserve">عامل كروشيه بالماكينه</t>
  </si>
  <si>
    <t xml:space="preserve">عامل تشغيل ماكينه تنظيف شعر الفراء</t>
  </si>
  <si>
    <t xml:space="preserve">عامل صنع اللباد من الفراء</t>
  </si>
  <si>
    <t xml:space="preserve">عامل صنع اللباد من الصوف</t>
  </si>
  <si>
    <t xml:space="preserve">عامل صنع القطن الطبي</t>
  </si>
  <si>
    <r>
      <rPr>
        <sz val="11"/>
        <color theme="1"/>
        <rFont val="Lohit Devanagari"/>
        <family val="2"/>
      </rPr>
      <t xml:space="preserve">عامل فحص  خيوط بالعمل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تحليل</t>
    </r>
  </si>
  <si>
    <t xml:space="preserve">عامل فحص  اقمشه بالعمل تحليل مواصفات</t>
  </si>
  <si>
    <t xml:space="preserve">فاحص اقمشه</t>
  </si>
  <si>
    <r>
      <rPr>
        <sz val="11"/>
        <color theme="1"/>
        <rFont val="Lohit Devanagari"/>
        <family val="2"/>
      </rPr>
      <t xml:space="preserve">عمال صناعه الغزل والنسيج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اخرون</t>
    </r>
  </si>
  <si>
    <t xml:space="preserve">عامل فرز الجلود</t>
  </si>
  <si>
    <t xml:space="preserve">عامل تلحيم وازاله الشعر باليد</t>
  </si>
  <si>
    <t xml:space="preserve">عامل تلحيم وازاله الشعر بالماكينه</t>
  </si>
  <si>
    <t xml:space="preserve">عامل شق الجلود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</si>
  <si>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الدباغه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مدابغي</t>
    </r>
  </si>
  <si>
    <t xml:space="preserve">عامل اعداد حمام الدباغه</t>
  </si>
  <si>
    <t xml:space="preserve">عامل تشطيب الجلود</t>
  </si>
  <si>
    <t xml:space="preserve">عامل صباغه الجلود</t>
  </si>
  <si>
    <t xml:space="preserve">عمال الدباغه وعمال شلح الصوف الخرون</t>
  </si>
  <si>
    <t xml:space="preserve">عمال تجهيز وتشطيب الفراء الخام</t>
  </si>
  <si>
    <t xml:space="preserve">طحان الحبوب</t>
  </si>
  <si>
    <t xml:space="preserve">عامل ضرب وتبييض  الرز</t>
  </si>
  <si>
    <t xml:space="preserve">طحان ارز</t>
  </si>
  <si>
    <t xml:space="preserve">عامل تحميص  وطحن البن</t>
  </si>
  <si>
    <r>
      <rPr>
        <sz val="11"/>
        <color theme="1"/>
        <rFont val="Lohit Devanagari"/>
        <family val="2"/>
      </rPr>
      <t xml:space="preserve">طحان توابل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بهارات</t>
    </r>
  </si>
  <si>
    <t xml:space="preserve">عطــار</t>
  </si>
  <si>
    <r>
      <rPr>
        <sz val="11"/>
        <color theme="1"/>
        <rFont val="Lohit Devanagari"/>
        <family val="2"/>
      </rPr>
      <t xml:space="preserve">عمال طحن الحبوب ومن اليهم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</si>
  <si>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عصر القصب</t>
  </si>
  <si>
    <t xml:space="preserve">عامل معالجه وترويق العصير</t>
  </si>
  <si>
    <t xml:space="preserve">عامل بلوره لصناعه وتكرير السكر</t>
  </si>
  <si>
    <t xml:space="preserve">عامل فصل السكر بالطرد المركزي</t>
  </si>
  <si>
    <r>
      <rPr>
        <sz val="11"/>
        <color theme="1"/>
        <rFont val="Lohit Devanagari"/>
        <family val="2"/>
      </rPr>
      <t xml:space="preserve">عمال صناعه وتكرير السكر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</si>
  <si>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r>
      <rPr>
        <sz val="11"/>
        <color theme="1"/>
        <rFont val="Lohit Devanagari"/>
        <family val="2"/>
      </rPr>
      <t xml:space="preserve">جزار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</si>
  <si>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r>
      <rPr>
        <sz val="11"/>
        <color theme="1"/>
        <rFont val="Lohit Devanagari"/>
        <family val="2"/>
      </rPr>
      <t xml:space="preserve">عامل الذبح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سلخ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بشكار</t>
    </r>
  </si>
  <si>
    <r>
      <rPr>
        <sz val="11"/>
        <color theme="1"/>
        <rFont val="Lohit Devanagari"/>
        <family val="2"/>
      </rPr>
      <t xml:space="preserve">عامل تنظيف الطراف والحشاء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كرشاتي</t>
    </r>
  </si>
  <si>
    <r>
      <rPr>
        <sz val="11"/>
        <color theme="1"/>
        <rFont val="Lohit Devanagari"/>
        <family val="2"/>
      </rPr>
      <t xml:space="preserve">الجزارون وعمال تجهيز اللحوم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</si>
  <si>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r>
      <rPr>
        <sz val="11"/>
        <color theme="1"/>
        <rFont val="Lohit Devanagari"/>
        <family val="2"/>
      </rPr>
      <t xml:space="preserve">عامل طبخ اللحوم لحفظها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</si>
  <si>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عامل طبخ السمك لحفظه</t>
  </si>
  <si>
    <t xml:space="preserve">عامل طبخ الفاكهه والخضروات لحفظها</t>
  </si>
  <si>
    <t xml:space="preserve">عامل صنع صلصه الطماطم</t>
  </si>
  <si>
    <t xml:space="preserve">عامل تجميد المواد الغذائيه</t>
  </si>
  <si>
    <t xml:space="preserve">عامل تجفيف المواد الغذائيه</t>
  </si>
  <si>
    <t xml:space="preserve">عامل معالجه اللحوم</t>
  </si>
  <si>
    <t xml:space="preserve">عامل تمليح السمك</t>
  </si>
  <si>
    <t xml:space="preserve">عامل عصر الفاكهه لحفظها</t>
  </si>
  <si>
    <t xml:space="preserve">عامل صنع المخللت</t>
  </si>
  <si>
    <t xml:space="preserve">صانع عصير فواكه</t>
  </si>
  <si>
    <r>
      <rPr>
        <sz val="11"/>
        <color theme="1"/>
        <rFont val="Lohit Devanagari"/>
        <family val="2"/>
      </rPr>
      <t xml:space="preserve">عمال حفظ الغذيه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</si>
  <si>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r>
      <rPr>
        <sz val="11"/>
        <color theme="1"/>
        <rFont val="Lohit Devanagari"/>
        <family val="2"/>
      </rPr>
      <t xml:space="preserve">عامل صنع منتجات البان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</si>
  <si>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عامل بستره اللبان</t>
  </si>
  <si>
    <t xml:space="preserve">عامل صنع الزبده</t>
  </si>
  <si>
    <t xml:space="preserve">عامل صنع الجبنه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</si>
  <si>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صنع المثلجات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الجيلتي</t>
    </r>
  </si>
  <si>
    <r>
      <rPr>
        <sz val="11"/>
        <color theme="1"/>
        <rFont val="Lohit Devanagari"/>
        <family val="2"/>
      </rPr>
      <t xml:space="preserve">عمال صناعه منتجات اللبان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</si>
  <si>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r>
      <rPr>
        <sz val="11"/>
        <color theme="1"/>
        <rFont val="Lohit Devanagari"/>
        <family val="2"/>
      </rPr>
      <t xml:space="preserve">خباز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</si>
  <si>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مساعد فران</t>
  </si>
  <si>
    <t xml:space="preserve">طولجي</t>
  </si>
  <si>
    <t xml:space="preserve">سحلجي</t>
  </si>
  <si>
    <t xml:space="preserve">رئيس  عجان</t>
  </si>
  <si>
    <t xml:space="preserve">عجان خبز</t>
  </si>
  <si>
    <t xml:space="preserve">مساعد عجان خبز</t>
  </si>
  <si>
    <t xml:space="preserve">خراط خبز</t>
  </si>
  <si>
    <r>
      <rPr>
        <sz val="11"/>
        <color theme="1"/>
        <rFont val="Lohit Devanagari"/>
        <family val="2"/>
      </rPr>
      <t xml:space="preserve">صانع فطائر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فطاطري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كنفاني</t>
    </r>
  </si>
  <si>
    <t xml:space="preserve">صانع جاتوه</t>
  </si>
  <si>
    <t xml:space="preserve">صانع حلوي</t>
  </si>
  <si>
    <t xml:space="preserve">عامل صنع مكرونه</t>
  </si>
  <si>
    <t xml:space="preserve">صانع الشيكولته</t>
  </si>
  <si>
    <t xml:space="preserve">صانع اللبان</t>
  </si>
  <si>
    <t xml:space="preserve">صانع الحلوه الطحينيه</t>
  </si>
  <si>
    <t xml:space="preserve">عامل صناعه البسكويت</t>
  </si>
  <si>
    <t xml:space="preserve">عمال صناعه الخبز والفطائر والحلوي</t>
  </si>
  <si>
    <t xml:space="preserve">عامل توليف الشاي</t>
  </si>
  <si>
    <r>
      <rPr>
        <sz val="11"/>
        <color theme="1"/>
        <rFont val="Lohit Devanagari"/>
        <family val="2"/>
      </rPr>
      <t xml:space="preserve">صانع مشروبات روحيه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</si>
  <si>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عامل انبات</t>
  </si>
  <si>
    <t xml:space="preserve">عامل افران المولت</t>
  </si>
  <si>
    <t xml:space="preserve">عامل طبخ المولت</t>
  </si>
  <si>
    <t xml:space="preserve">عامل التخمير</t>
  </si>
  <si>
    <t xml:space="preserve">عامل صنع خميره البيره</t>
  </si>
  <si>
    <t xml:space="preserve">صانع الخل من المولت</t>
  </si>
  <si>
    <t xml:space="preserve">عامل تذوق النبيذ والمشروبات الكحول</t>
  </si>
  <si>
    <t xml:space="preserve">عمال صناعه المشروبات الكحوليه</t>
  </si>
  <si>
    <t xml:space="preserve">عامل ماكينه عصر البذور</t>
  </si>
  <si>
    <t xml:space="preserve">عامل ماكينه تنقيه الزيوت والدهون</t>
  </si>
  <si>
    <t xml:space="preserve">عامل هدرجه الزيوت</t>
  </si>
  <si>
    <t xml:space="preserve">عامل تشغيل ماكينه كبس  الواح الكسب</t>
  </si>
  <si>
    <t xml:space="preserve">عامل عصير الفاكهه</t>
  </si>
  <si>
    <t xml:space="preserve">عامل صنع النشا</t>
  </si>
  <si>
    <t xml:space="preserve">عمال تجهيز الغذيه والمشروبات</t>
  </si>
  <si>
    <t xml:space="preserve">عامل تقسيم الدخان الي درجات</t>
  </si>
  <si>
    <r>
      <rPr>
        <sz val="11"/>
        <color theme="1"/>
        <rFont val="Lohit Devanagari"/>
        <family val="2"/>
      </rPr>
      <t xml:space="preserve">عامل توليفه الدخان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خرمنجي</t>
    </r>
  </si>
  <si>
    <t xml:space="preserve">عامل ترطيب الدخان</t>
  </si>
  <si>
    <t xml:space="preserve">عامل سلخ سيقان الدخان باليد</t>
  </si>
  <si>
    <t xml:space="preserve">عامل تشغيل ماكينه سلخ سيقان الدخان</t>
  </si>
  <si>
    <t xml:space="preserve">عامل تشغيل ماكينه فرم الدخان</t>
  </si>
  <si>
    <r>
      <rPr>
        <sz val="11"/>
        <color theme="1"/>
        <rFont val="Lohit Devanagari"/>
        <family val="2"/>
      </rPr>
      <t xml:space="preserve">عمال تجهيز الدخان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</si>
  <si>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صنع السيجار باليد</t>
  </si>
  <si>
    <t xml:space="preserve">عامل تشغيل ماكينه صنع السيجار</t>
  </si>
  <si>
    <r>
      <rPr>
        <sz val="11"/>
        <color theme="1"/>
        <rFont val="Lohit Devanagari"/>
        <family val="2"/>
      </rPr>
      <t xml:space="preserve">عمال صنع السجاير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</si>
  <si>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صنع السجاير باليد</t>
  </si>
  <si>
    <t xml:space="preserve">عامل تشغيل ماكينه صنع السجاير</t>
  </si>
  <si>
    <t xml:space="preserve">عامل صنع نشوق</t>
  </si>
  <si>
    <t xml:space="preserve">عامل صنع دخان المعسل</t>
  </si>
  <si>
    <r>
      <rPr>
        <sz val="11"/>
        <color theme="1"/>
        <rFont val="Lohit Devanagari"/>
        <family val="2"/>
      </rPr>
      <t xml:space="preserve">عمال تجهيز الدخان ومنتجاته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اخرون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</si>
  <si>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ترزي بدل حسب المقاس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ترزي افرنجي</t>
    </r>
  </si>
  <si>
    <t xml:space="preserve">ترزي بدل جاهزه</t>
  </si>
  <si>
    <t xml:space="preserve">خياط بنطلون</t>
  </si>
  <si>
    <t xml:space="preserve">ترزي قمصان وبيجامات حسب المقاس </t>
  </si>
  <si>
    <t xml:space="preserve">ترزي ملبس  سيدات حسب المقاس </t>
  </si>
  <si>
    <t xml:space="preserve">ترزي ملبس  سيدات جاهزه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</si>
  <si>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ترزي ملبس  بلديه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ترزي عربي</t>
    </r>
  </si>
  <si>
    <r>
      <rPr>
        <sz val="11"/>
        <color theme="1"/>
        <rFont val="Lohit Devanagari"/>
        <family val="2"/>
      </rPr>
      <t xml:space="preserve">الترزيه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</si>
  <si>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ترزي فراء</t>
  </si>
  <si>
    <r>
      <rPr>
        <sz val="11"/>
        <color theme="1"/>
        <rFont val="Lohit Devanagari"/>
        <family val="2"/>
      </rPr>
      <t xml:space="preserve">ترزيو الفراء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</si>
  <si>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r>
      <rPr>
        <sz val="11"/>
        <color theme="1"/>
        <rFont val="Lohit Devanagari"/>
        <family val="2"/>
      </rPr>
      <t xml:space="preserve">عامل صنع قبعات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</si>
  <si>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عامل صنع قبعات سيدات</t>
  </si>
  <si>
    <t xml:space="preserve">عامل صنع اغطيه الراس  العسكريه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</si>
  <si>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صنع لبد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لبودي</t>
    </r>
  </si>
  <si>
    <r>
      <rPr>
        <sz val="11"/>
        <color theme="1"/>
        <rFont val="Lohit Devanagari"/>
        <family val="2"/>
      </rPr>
      <t xml:space="preserve">عمال صنع اغطيه الراس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</si>
  <si>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r>
      <rPr>
        <sz val="11"/>
        <color theme="1"/>
        <rFont val="Lohit Devanagari"/>
        <family val="2"/>
      </rPr>
      <t xml:space="preserve">صانع نماذج ملبس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باترون</t>
    </r>
  </si>
  <si>
    <r>
      <rPr>
        <sz val="11"/>
        <color theme="1"/>
        <rFont val="Lohit Devanagari"/>
        <family val="2"/>
      </rPr>
      <t xml:space="preserve">صانع نماذج قبعات وكاب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باترون</t>
    </r>
  </si>
  <si>
    <t xml:space="preserve">عامل نقل النماذج علي القمشه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</si>
  <si>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قص  الملبس  الجاهزه</t>
    </r>
  </si>
  <si>
    <t xml:space="preserve">عامل قص  الملبس  الجلديه</t>
  </si>
  <si>
    <r>
      <rPr>
        <sz val="11"/>
        <color theme="1"/>
        <rFont val="Lohit Devanagari"/>
        <family val="2"/>
      </rPr>
      <t xml:space="preserve">عامل قص  القفازات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عدا الجلديه</t>
    </r>
  </si>
  <si>
    <t xml:space="preserve">عامل قص  القفازات الجلديه</t>
  </si>
  <si>
    <t xml:space="preserve">عمال صنع نماذج الزياء وعمال القص </t>
  </si>
  <si>
    <t xml:space="preserve">مقصدار</t>
  </si>
  <si>
    <r>
      <rPr>
        <sz val="11"/>
        <color theme="1"/>
        <rFont val="Lohit Devanagari"/>
        <family val="2"/>
      </rPr>
      <t xml:space="preserve">عامل خياطه باليد والماكينه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</si>
  <si>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اصلح ماكينة خياطة</t>
  </si>
  <si>
    <t xml:space="preserve">عامل خياطه باليد عدا جلديه وفراء</t>
  </si>
  <si>
    <t xml:space="preserve">عامل خياطه الجلود باليد</t>
  </si>
  <si>
    <t xml:space="preserve">عامل خياطه الفراء باليد</t>
  </si>
  <si>
    <t xml:space="preserve">عامل تشغيل ماكينه خياطه الملبوسات</t>
  </si>
  <si>
    <t xml:space="preserve">عامل تطريز باليد</t>
  </si>
  <si>
    <t xml:space="preserve">عامل تطريز بالماكينه</t>
  </si>
  <si>
    <t xml:space="preserve">عامل عراوي</t>
  </si>
  <si>
    <r>
      <rPr>
        <sz val="11"/>
        <color theme="1"/>
        <rFont val="Lohit Devanagari"/>
        <family val="2"/>
      </rPr>
      <t xml:space="preserve">عقاد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حرايري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</si>
  <si>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تطريز بالقصب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قصبجي</t>
    </r>
  </si>
  <si>
    <r>
      <rPr>
        <sz val="11"/>
        <color theme="1"/>
        <rFont val="Lohit Devanagari"/>
        <family val="2"/>
      </rPr>
      <t xml:space="preserve">عامل رفي الملبس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رفا</t>
    </r>
  </si>
  <si>
    <r>
      <rPr>
        <sz val="11"/>
        <color theme="1"/>
        <rFont val="Lohit Devanagari"/>
        <family val="2"/>
      </rPr>
      <t xml:space="preserve">خياط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ترزي متجول</t>
    </r>
  </si>
  <si>
    <t xml:space="preserve">خياطو الملبوسات والتطريز والبرودريه</t>
  </si>
  <si>
    <r>
      <rPr>
        <sz val="11"/>
        <color theme="1"/>
        <rFont val="Lohit Devanagari"/>
        <family val="2"/>
      </rPr>
      <t xml:space="preserve">منجد افرنجي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منجد مفروشات</t>
    </r>
  </si>
  <si>
    <r>
      <rPr>
        <sz val="11"/>
        <color theme="1"/>
        <rFont val="Lohit Devanagari"/>
        <family val="2"/>
      </rPr>
      <t xml:space="preserve">منجد مركبات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سروجي سيارات</t>
    </r>
  </si>
  <si>
    <r>
      <rPr>
        <sz val="11"/>
        <color theme="1"/>
        <rFont val="Lohit Devanagari"/>
        <family val="2"/>
      </rPr>
      <t xml:space="preserve">منجد بلدي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منجد مراتب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مخدات</t>
    </r>
  </si>
  <si>
    <t xml:space="preserve">برادعي</t>
  </si>
  <si>
    <r>
      <rPr>
        <sz val="11"/>
        <color theme="1"/>
        <rFont val="Lohit Devanagari"/>
        <family val="2"/>
      </rPr>
      <t xml:space="preserve">المنجدون ومن اليهم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</si>
  <si>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صنع الشباك باليد</t>
  </si>
  <si>
    <t xml:space="preserve">عامل صنع الشباك بالماكينه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</si>
  <si>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صانع قلوع وخيام وتند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خيمي</t>
    </r>
  </si>
  <si>
    <r>
      <rPr>
        <sz val="11"/>
        <color theme="1"/>
        <rFont val="Lohit Devanagari"/>
        <family val="2"/>
      </rPr>
      <t xml:space="preserve">صانع مظلت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شماسي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</si>
  <si>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خياط خيش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خياش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خياط اكياس  زهر</t>
    </r>
  </si>
  <si>
    <t xml:space="preserve">خياط خيش  بال</t>
  </si>
  <si>
    <t xml:space="preserve">خياط زكائب بذره</t>
  </si>
  <si>
    <t xml:space="preserve">خياط شحن بال</t>
  </si>
  <si>
    <r>
      <rPr>
        <sz val="11"/>
        <color theme="1"/>
        <rFont val="Lohit Devanagari"/>
        <family val="2"/>
      </rPr>
      <t xml:space="preserve">الترزيه والخياطون والمنجدون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</t>
    </r>
  </si>
  <si>
    <t xml:space="preserve">مصمم احذية</t>
  </si>
  <si>
    <r>
      <rPr>
        <sz val="11"/>
        <color theme="1"/>
        <rFont val="Lohit Devanagari"/>
        <family val="2"/>
      </rPr>
      <t xml:space="preserve">عامل صنع احذيه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جزمجي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</si>
  <si>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عامل صنع صنادل وشباشب</t>
  </si>
  <si>
    <t xml:space="preserve">عامل صنع بلغ</t>
  </si>
  <si>
    <t xml:space="preserve">عامل اصلح احذيه</t>
  </si>
  <si>
    <r>
      <rPr>
        <sz val="11"/>
        <color theme="1"/>
        <rFont val="Lohit Devanagari"/>
        <family val="2"/>
      </rPr>
      <t xml:space="preserve">عمال صنع واصلح الحذيه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</si>
  <si>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اعداد باترونات الحذيه</t>
  </si>
  <si>
    <t xml:space="preserve">عامل تفصيل جلد وجه الحذاء باليد</t>
  </si>
  <si>
    <t xml:space="preserve">عامل تفصيل جلد وجه الحذاء بالماكينه</t>
  </si>
  <si>
    <r>
      <rPr>
        <sz val="11"/>
        <color theme="1"/>
        <rFont val="Lohit Devanagari"/>
        <family val="2"/>
      </rPr>
      <t xml:space="preserve">عامل تمكين جلد وجه الحذاء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مكنجي</t>
    </r>
  </si>
  <si>
    <t xml:space="preserve">عامل تفصيل جلد النعل</t>
  </si>
  <si>
    <t xml:space="preserve">عامل تجهيز النعل الداخلي والخارجي</t>
  </si>
  <si>
    <t xml:space="preserve">عامل شد وجه الحذاء علي القالب</t>
  </si>
  <si>
    <t xml:space="preserve">عامل حياكه وجه الحذاء بالنعل باليد</t>
  </si>
  <si>
    <t xml:space="preserve">عامل حياكه وجه الحذاء بالنعل</t>
  </si>
  <si>
    <t xml:space="preserve">عامل تشطيب الحذاء بعد التشغيل</t>
  </si>
  <si>
    <t xml:space="preserve">عمال تفصيل وتجهيز وحياكه الحذيه</t>
  </si>
  <si>
    <t xml:space="preserve">عامل صنع منتجات الجلود وبدائله</t>
  </si>
  <si>
    <r>
      <rPr>
        <sz val="11"/>
        <color theme="1"/>
        <rFont val="Lohit Devanagari"/>
        <family val="2"/>
      </rPr>
      <t xml:space="preserve">عامل صنع السروج والسراع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سروجي</t>
    </r>
  </si>
  <si>
    <t xml:space="preserve">عامل صنع شنط اليد الحريمي</t>
  </si>
  <si>
    <t xml:space="preserve">عامل صنع شنط النفر وما شابهها</t>
  </si>
  <si>
    <t xml:space="preserve">عامل تفصيل مشفولت جلديه عداالحذيه</t>
  </si>
  <si>
    <r>
      <rPr>
        <sz val="11"/>
        <color theme="1"/>
        <rFont val="Lohit Devanagari"/>
        <family val="2"/>
      </rPr>
      <t xml:space="preserve">عامل حياكه جلود يدوي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عدا الحذيه</t>
    </r>
  </si>
  <si>
    <r>
      <rPr>
        <sz val="11"/>
        <color theme="1"/>
        <rFont val="Lohit Devanagari"/>
        <family val="2"/>
      </rPr>
      <t xml:space="preserve">عامل حياكه جلود بالماكينه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مكنجي</t>
    </r>
  </si>
  <si>
    <t xml:space="preserve">عامل صناعات زخرفيه من الجلد</t>
  </si>
  <si>
    <t xml:space="preserve">عمال صنع منتجات الجلود وبدائل</t>
  </si>
  <si>
    <r>
      <rPr>
        <sz val="11"/>
        <color theme="1"/>
        <rFont val="Lohit Devanagari"/>
        <family val="2"/>
      </rPr>
      <t xml:space="preserve">نجار اثاث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</si>
  <si>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نجار اثاث منازل</t>
  </si>
  <si>
    <t xml:space="preserve">نجار اثاث مكاتب</t>
  </si>
  <si>
    <t xml:space="preserve">نجار كراسي</t>
  </si>
  <si>
    <r>
      <rPr>
        <sz val="11"/>
        <color theme="1"/>
        <rFont val="Lohit Devanagari"/>
        <family val="2"/>
      </rPr>
      <t xml:space="preserve">نجاري الثاث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</si>
  <si>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توضيب وتشغيل ماكينات النجاره</t>
  </si>
  <si>
    <r>
      <rPr>
        <sz val="11"/>
        <color theme="1"/>
        <rFont val="Lohit Devanagari"/>
        <family val="2"/>
      </rPr>
      <t xml:space="preserve">عامل تشغيل ماكينه مسح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مكنجي</t>
    </r>
  </si>
  <si>
    <r>
      <rPr>
        <sz val="11"/>
        <color theme="1"/>
        <rFont val="Lohit Devanagari"/>
        <family val="2"/>
      </rPr>
      <t xml:space="preserve">عامل تشغيل ماكينه حليه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مكنجي حليه</t>
    </r>
  </si>
  <si>
    <t xml:space="preserve">عامل تشغيل ماكينه حفر في الخشب</t>
  </si>
  <si>
    <t xml:space="preserve">عامل تشغيل منشار خشب ميكنجي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</si>
  <si>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تشغيل ماكينه مخرطه خشب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خراط خشب</t>
    </r>
  </si>
  <si>
    <r>
      <rPr>
        <sz val="11"/>
        <color theme="1"/>
        <rFont val="Lohit Devanagari"/>
        <family val="2"/>
      </rPr>
      <t xml:space="preserve">عمال تشغيل ماكينات النجاره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اخرون</t>
    </r>
  </si>
  <si>
    <t xml:space="preserve">نجار عربات ركوب</t>
  </si>
  <si>
    <t xml:space="preserve">نجار عربات نقل</t>
  </si>
  <si>
    <t xml:space="preserve">نجار عجل</t>
  </si>
  <si>
    <r>
      <rPr>
        <sz val="11"/>
        <color theme="1"/>
        <rFont val="Lohit Devanagari"/>
        <family val="2"/>
      </rPr>
      <t xml:space="preserve">نجار ارانيك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نجار نماذج سباكه</t>
    </r>
  </si>
  <si>
    <r>
      <rPr>
        <sz val="11"/>
        <color theme="1"/>
        <rFont val="Lohit Devanagari"/>
        <family val="2"/>
      </rPr>
      <t xml:space="preserve">نجار نماذج خشبيه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ماكيت</t>
    </r>
  </si>
  <si>
    <t xml:space="preserve">نجار ادوات رياضيه</t>
  </si>
  <si>
    <r>
      <rPr>
        <sz val="11"/>
        <color theme="1"/>
        <rFont val="Lohit Devanagari"/>
        <family val="2"/>
      </rPr>
      <t xml:space="preserve">نجار تطعيم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ماركتري اوصدفجي</t>
    </r>
  </si>
  <si>
    <r>
      <rPr>
        <sz val="11"/>
        <color theme="1"/>
        <rFont val="Lohit Devanagari"/>
        <family val="2"/>
      </rPr>
      <t xml:space="preserve">نجار ايمه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ايمجي</t>
    </r>
  </si>
  <si>
    <t xml:space="preserve">نجار صنع مكاييل واقداح</t>
  </si>
  <si>
    <t xml:space="preserve">نجار براميل</t>
  </si>
  <si>
    <r>
      <rPr>
        <sz val="11"/>
        <color theme="1"/>
        <rFont val="Lohit Devanagari"/>
        <family val="2"/>
      </rPr>
      <t xml:space="preserve">نجار بلدي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قبقاب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طبليه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مطرحه</t>
    </r>
  </si>
  <si>
    <r>
      <rPr>
        <sz val="11"/>
        <color theme="1"/>
        <rFont val="Lohit Devanagari"/>
        <family val="2"/>
      </rPr>
      <t xml:space="preserve">نجار الت زراعيه خشبيه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جيفاوي</t>
    </r>
  </si>
  <si>
    <t xml:space="preserve">نجار غرابيل اتوماتيكيه</t>
  </si>
  <si>
    <t xml:space="preserve">نشار خشب بلدي</t>
  </si>
  <si>
    <t xml:space="preserve">خراط خشب بلدي</t>
  </si>
  <si>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عامل لصق القشره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قشرجي</t>
    </r>
  </si>
  <si>
    <t xml:space="preserve">استرجي</t>
  </si>
  <si>
    <t xml:space="preserve">مذهباتي</t>
  </si>
  <si>
    <t xml:space="preserve">نقاش  اثاث لكيه</t>
  </si>
  <si>
    <r>
      <rPr>
        <sz val="11"/>
        <color theme="1"/>
        <rFont val="Lohit Devanagari"/>
        <family val="2"/>
      </rPr>
      <t xml:space="preserve">نجارو الثاث والمصنوعات الخشبيه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</si>
  <si>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فرز الحجار</t>
  </si>
  <si>
    <t xml:space="preserve">عامل قطع الحجار</t>
  </si>
  <si>
    <t xml:space="preserve">عامل تشغيل ماكينه نشر الحجار</t>
  </si>
  <si>
    <t xml:space="preserve">عامل تشغيل ماكينه تسويه الحجار</t>
  </si>
  <si>
    <t xml:space="preserve">عامل صقل الحجار بالماكينه</t>
  </si>
  <si>
    <r>
      <rPr>
        <sz val="11"/>
        <color theme="1"/>
        <rFont val="Lohit Devanagari"/>
        <family val="2"/>
      </rPr>
      <t xml:space="preserve">عامل صقل الحجار باليد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جلء</t>
    </r>
  </si>
  <si>
    <t xml:space="preserve">عامل تشغيل مخرطه تشكيل وصقل الحجار</t>
  </si>
  <si>
    <t xml:space="preserve">عامل نحت ونقش  الحجار والكتابه عليها</t>
  </si>
  <si>
    <t xml:space="preserve">عامل حفر الحروف ونقشها علي الحجار باليد</t>
  </si>
  <si>
    <r>
      <rPr>
        <sz val="11"/>
        <color theme="1"/>
        <rFont val="Lohit Devanagari"/>
        <family val="2"/>
      </rPr>
      <t xml:space="preserve">عامل تخشين حجر الطاحونه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نقاش  حجر الطاحونه</t>
    </r>
  </si>
  <si>
    <r>
      <rPr>
        <sz val="11"/>
        <color theme="1"/>
        <rFont val="Lohit Devanagari"/>
        <family val="2"/>
      </rPr>
      <t xml:space="preserve">عمال قطع ونحت الحجار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</si>
  <si>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حرفــى</t>
  </si>
  <si>
    <t xml:space="preserve">كبير حرفيين</t>
  </si>
  <si>
    <r>
      <rPr>
        <sz val="11"/>
        <color theme="1"/>
        <rFont val="Lohit Devanagari"/>
        <family val="2"/>
      </rPr>
      <t xml:space="preserve">حداد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حداد سندان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</si>
  <si>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حداد مطرقه ميكانيكيه ذات اسطمبات</t>
  </si>
  <si>
    <t xml:space="preserve">عامل تشغيل مكبس  حداده</t>
  </si>
  <si>
    <r>
      <rPr>
        <sz val="11"/>
        <color theme="1"/>
        <rFont val="Lohit Devanagari"/>
        <family val="2"/>
      </rPr>
      <t xml:space="preserve">حداد زخرفي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ابواب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شبابيك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اثاث</t>
    </r>
  </si>
  <si>
    <t xml:space="preserve">حداد سيارات</t>
  </si>
  <si>
    <t xml:space="preserve">حداد سواقي</t>
  </si>
  <si>
    <r>
      <rPr>
        <sz val="11"/>
        <color theme="1"/>
        <rFont val="Lohit Devanagari"/>
        <family val="2"/>
      </rPr>
      <t xml:space="preserve">الحدادون وعمال تشغيل المطارق الميكانيكيه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</si>
  <si>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براد اسطمبات</t>
  </si>
  <si>
    <r>
      <rPr>
        <sz val="11"/>
        <color theme="1"/>
        <rFont val="Lohit Devanagari"/>
        <family val="2"/>
      </rPr>
      <t xml:space="preserve">براد عده وضبعه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</si>
  <si>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براد عده</t>
  </si>
  <si>
    <t xml:space="preserve">براد ضبعه</t>
  </si>
  <si>
    <t xml:space="preserve">صانع ارانيك معدنيه للسبك</t>
  </si>
  <si>
    <r>
      <rPr>
        <sz val="11"/>
        <color theme="1"/>
        <rFont val="Lohit Devanagari"/>
        <family val="2"/>
      </rPr>
      <t xml:space="preserve">عامل شنكار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بورش  المعادن</t>
    </r>
  </si>
  <si>
    <t xml:space="preserve">براد حجـر</t>
  </si>
  <si>
    <t xml:space="preserve">براد تركيبات</t>
  </si>
  <si>
    <r>
      <rPr>
        <sz val="11"/>
        <color theme="1"/>
        <rFont val="Lohit Devanagari"/>
        <family val="2"/>
      </rPr>
      <t xml:space="preserve">برادو العدد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صانعو العدد الخرون</t>
    </r>
  </si>
  <si>
    <r>
      <rPr>
        <sz val="11"/>
        <color theme="1"/>
        <rFont val="Lohit Devanagari"/>
        <family val="2"/>
      </rPr>
      <t xml:space="preserve">عامل توضيب ماكينات التشغيل ورش  المعادن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</si>
  <si>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r>
      <rPr>
        <sz val="11"/>
        <color theme="1"/>
        <rFont val="Lohit Devanagari"/>
        <family val="2"/>
      </rPr>
      <t xml:space="preserve">عامل مخرطه المعادن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خراط معادن</t>
    </r>
  </si>
  <si>
    <r>
      <rPr>
        <sz val="11"/>
        <color theme="1"/>
        <rFont val="Lohit Devanagari"/>
        <family val="2"/>
      </rPr>
      <t xml:space="preserve">عامل مخرطه ذات برج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خراط مخرطه</t>
    </r>
  </si>
  <si>
    <r>
      <rPr>
        <sz val="11"/>
        <color theme="1"/>
        <rFont val="Lohit Devanagari"/>
        <family val="2"/>
      </rPr>
      <t xml:space="preserve">عامل مخرطه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مخرطه سلندرات</t>
    </r>
  </si>
  <si>
    <r>
      <rPr>
        <sz val="11"/>
        <color theme="1"/>
        <rFont val="Lohit Devanagari"/>
        <family val="2"/>
      </rPr>
      <t xml:space="preserve">عامل فريزه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ماكينات فريزه</t>
    </r>
  </si>
  <si>
    <r>
      <rPr>
        <sz val="11"/>
        <color theme="1"/>
        <rFont val="Lohit Devanagari"/>
        <family val="2"/>
      </rPr>
      <t xml:space="preserve">عامل مقشطه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براد ماكينات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مقشطه</t>
    </r>
  </si>
  <si>
    <r>
      <rPr>
        <sz val="11"/>
        <color theme="1"/>
        <rFont val="Lohit Devanagari"/>
        <family val="2"/>
      </rPr>
      <t xml:space="preserve">عامل ماكينات مثقاب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براد ماكينات</t>
    </r>
  </si>
  <si>
    <r>
      <rPr>
        <sz val="11"/>
        <color theme="1"/>
        <rFont val="Lohit Devanagari"/>
        <family val="2"/>
      </rPr>
      <t xml:space="preserve">عامل ماكينه تجليخ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براد ماكينات</t>
    </r>
  </si>
  <si>
    <r>
      <rPr>
        <sz val="11"/>
        <color theme="1"/>
        <rFont val="Lohit Devanagari"/>
        <family val="2"/>
      </rPr>
      <t xml:space="preserve">عامل ماكينات سحق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براد ماكينات</t>
    </r>
  </si>
  <si>
    <t xml:space="preserve">عامل ماكينات نشر المعادن</t>
  </si>
  <si>
    <t xml:space="preserve">عامل تشقيب بطاقات برامج ماكينات</t>
  </si>
  <si>
    <t xml:space="preserve">عمال ماكينات تشغيل المعادن</t>
  </si>
  <si>
    <t xml:space="preserve">مشغل ماكينة</t>
  </si>
  <si>
    <r>
      <rPr>
        <sz val="11"/>
        <color theme="1"/>
        <rFont val="Lohit Devanagari"/>
        <family val="2"/>
      </rPr>
      <t xml:space="preserve">عامل تشغيل المعادن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</si>
  <si>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عامل تشغيل مخرطه معادن</t>
  </si>
  <si>
    <t xml:space="preserve">عامل تشغيل مخرطه ذات برج</t>
  </si>
  <si>
    <t xml:space="preserve">عامل تشغيل مخرطه اوتوماتيكيه</t>
  </si>
  <si>
    <r>
      <rPr>
        <sz val="11"/>
        <color theme="1"/>
        <rFont val="Lohit Devanagari"/>
        <family val="2"/>
      </rPr>
      <t xml:space="preserve">عامل مخرطه داخليه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مخرطه سلندرات</t>
    </r>
  </si>
  <si>
    <t xml:space="preserve">عامل تشغيل فريزه</t>
  </si>
  <si>
    <t xml:space="preserve">عامل تشغيل ماكينه مثقاب</t>
  </si>
  <si>
    <t xml:space="preserve">عامل تشغيل مقشطه</t>
  </si>
  <si>
    <t xml:space="preserve">عامل تشغيل ماكينه منشار معادن</t>
  </si>
  <si>
    <r>
      <rPr>
        <sz val="11"/>
        <color theme="1"/>
        <rFont val="Lohit Devanagari"/>
        <family val="2"/>
      </rPr>
      <t xml:space="preserve">عمال تشغيل ماكينات تشغيل المعادن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</si>
  <si>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r>
      <rPr>
        <sz val="11"/>
        <color theme="1"/>
        <rFont val="Lohit Devanagari"/>
        <family val="2"/>
      </rPr>
      <t xml:space="preserve">عامل ماكينه تلميع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فرشه</t>
    </r>
  </si>
  <si>
    <t xml:space="preserve">عامل ماكينه سن العدد للماكينات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</si>
  <si>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سن عدد القطع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السكاكين والمقصات</t>
    </r>
  </si>
  <si>
    <t xml:space="preserve">عامل تصليح وسن المناشير</t>
  </si>
  <si>
    <t xml:space="preserve">عامل سن ماكينات تسريح النسيج</t>
  </si>
  <si>
    <r>
      <rPr>
        <sz val="11"/>
        <color theme="1"/>
        <rFont val="Lohit Devanagari"/>
        <family val="2"/>
      </rPr>
      <t xml:space="preserve">عمال تجليخ وصقل المعادن وسن العدد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اخرون</t>
    </r>
  </si>
  <si>
    <t xml:space="preserve">عامل تشغيل مكبس  معادن</t>
  </si>
  <si>
    <t xml:space="preserve">عامل تشغيل ماكينه ثني المعادن</t>
  </si>
  <si>
    <t xml:space="preserve">عامل تشغيل ماكينه قص  المعادن</t>
  </si>
  <si>
    <t xml:space="preserve">عامل تجميع واصلح القفال والمفاتيح</t>
  </si>
  <si>
    <t xml:space="preserve">عامل تجميع واصلح السلحه الناريه</t>
  </si>
  <si>
    <r>
      <rPr>
        <sz val="11"/>
        <color theme="1"/>
        <rFont val="Lohit Devanagari"/>
        <family val="2"/>
      </rPr>
      <t xml:space="preserve">الحدادون وبرادو العدد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صانعو العدد الخرون</t>
    </r>
  </si>
  <si>
    <t xml:space="preserve">عامل تجميع</t>
  </si>
  <si>
    <t xml:space="preserve">عامل تركيب وتجميع مشغولت معدنيه</t>
  </si>
  <si>
    <t xml:space="preserve">عامل تركيب مشغولت معدنيه</t>
  </si>
  <si>
    <r>
      <rPr>
        <sz val="11"/>
        <color theme="1"/>
        <rFont val="Lohit Devanagari"/>
        <family val="2"/>
      </rPr>
      <t xml:space="preserve">عامل تجميع مشغولت معدنيه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براد</t>
    </r>
  </si>
  <si>
    <t xml:space="preserve">عامل تركيب وتجميع الت ورش  المعادن</t>
  </si>
  <si>
    <t xml:space="preserve">عامل تركيب وتجميع اللت  عدا الت ورش  المعادن</t>
  </si>
  <si>
    <t xml:space="preserve">عامل تركيب وتجميع هياكل الطائرات</t>
  </si>
  <si>
    <t xml:space="preserve">عامل تركيب محركات الطائرات</t>
  </si>
  <si>
    <t xml:space="preserve">عامل تثبيت الماكينات في اماكنها</t>
  </si>
  <si>
    <t xml:space="preserve">عامل صيانه واصلح الت الحتراق</t>
  </si>
  <si>
    <t xml:space="preserve">عامل صيانه واصلح تربينات</t>
  </si>
  <si>
    <t xml:space="preserve">عامل صيانه واصلح ماكينات بحريه</t>
  </si>
  <si>
    <t xml:space="preserve">عامل صيانه واصلح ماكينات ورش </t>
  </si>
  <si>
    <t xml:space="preserve">عامل صيانه واصلح الت المناجم</t>
  </si>
  <si>
    <t xml:space="preserve">عامل صيانه واصلح الت الطباعه</t>
  </si>
  <si>
    <t xml:space="preserve">عامل صيانه واصلح الت الغزل والنسيج</t>
  </si>
  <si>
    <t xml:space="preserve">عامل صيانه واصلح الت تشغيل الخشاب</t>
  </si>
  <si>
    <t xml:space="preserve">عامل صيانه واصلح الت زراعيه</t>
  </si>
  <si>
    <t xml:space="preserve">عامل صيانه واصلح ماكينات تحريك</t>
  </si>
  <si>
    <t xml:space="preserve">عامل صيانه واصلح الت المكاتب</t>
  </si>
  <si>
    <t xml:space="preserve">عامل صيانه واصلح الثلجات والتكييف</t>
  </si>
  <si>
    <r>
      <rPr>
        <sz val="11"/>
        <color theme="1"/>
        <rFont val="Lohit Devanagari"/>
        <family val="2"/>
      </rPr>
      <t xml:space="preserve">عامل صيانه واصلح الدراجات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عجلتي</t>
    </r>
  </si>
  <si>
    <r>
      <rPr>
        <sz val="11"/>
        <color theme="1"/>
        <rFont val="Lohit Devanagari"/>
        <family val="2"/>
      </rPr>
      <t xml:space="preserve">عمال تركيب وتجميع وصيانه الت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اخرون</t>
    </r>
  </si>
  <si>
    <t xml:space="preserve">ميكانيكى صيانة الت</t>
  </si>
  <si>
    <t xml:space="preserve">مساعد ميكانيكى</t>
  </si>
  <si>
    <r>
      <rPr>
        <sz val="11"/>
        <color theme="1"/>
        <rFont val="Lohit Devanagari"/>
        <family val="2"/>
      </rPr>
      <t xml:space="preserve">عامل صنع واصلح الجهزه الدقيقه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</si>
  <si>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عامل صنع الساعات</t>
  </si>
  <si>
    <r>
      <rPr>
        <sz val="11"/>
        <color theme="1"/>
        <rFont val="Lohit Devanagari"/>
        <family val="2"/>
      </rPr>
      <t xml:space="preserve">عامل اصلح الساعات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ساعاتي</t>
    </r>
  </si>
  <si>
    <t xml:space="preserve">عامل صنع واصلح الجهزه البصريه</t>
  </si>
  <si>
    <t xml:space="preserve">عامل اصلح اجهزه القياس </t>
  </si>
  <si>
    <t xml:space="preserve">عامل اصلح عدادات ميكانيكيه</t>
  </si>
  <si>
    <t xml:space="preserve">عامل صنع واصلح عدادات الطائرات</t>
  </si>
  <si>
    <t xml:space="preserve">عامل تركيب وتجميع الجهزه الدقيقه</t>
  </si>
  <si>
    <t xml:space="preserve">عامل صنع واصلح الطراف الصناعيه</t>
  </si>
  <si>
    <t xml:space="preserve">عامل تركيب واصلح اجهزه التصوير</t>
  </si>
  <si>
    <t xml:space="preserve">عامل صنع واصلح ماكينات الخياطه</t>
  </si>
  <si>
    <t xml:space="preserve">عامل صنع واصلح الصنج والموازين</t>
  </si>
  <si>
    <r>
      <rPr>
        <sz val="11"/>
        <color theme="1"/>
        <rFont val="Lohit Devanagari"/>
        <family val="2"/>
      </rPr>
      <t xml:space="preserve">عمال صنع واصلح الساعات والجهزه الدقيقه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اخرون</t>
    </r>
  </si>
  <si>
    <t xml:space="preserve">ميكانيكي سيارات بنزين</t>
  </si>
  <si>
    <t xml:space="preserve">ميكانيكي سيارات ديزل</t>
  </si>
  <si>
    <t xml:space="preserve">مشرف ميكانيكى ديزل</t>
  </si>
  <si>
    <t xml:space="preserve">ميكانيكي جرارات</t>
  </si>
  <si>
    <t xml:space="preserve">ميكانيكي موتوسيكلت</t>
  </si>
  <si>
    <t xml:space="preserve">ميكانيكي اصلح قاطرات سكه حديد ديزل</t>
  </si>
  <si>
    <t xml:space="preserve">ميكانيكي اصلح قاطرات سكه حديد بخاريه</t>
  </si>
  <si>
    <t xml:space="preserve">ميكانيكى محركات ديزل</t>
  </si>
  <si>
    <r>
      <rPr>
        <sz val="11"/>
        <color theme="1"/>
        <rFont val="Lohit Devanagari"/>
        <family val="2"/>
      </rPr>
      <t xml:space="preserve">ميكانيكى المركبات الليه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</si>
  <si>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r>
      <rPr>
        <sz val="11"/>
        <color theme="1"/>
        <rFont val="Lohit Devanagari"/>
        <family val="2"/>
      </rPr>
      <t xml:space="preserve">ميكانيكي اصلح محركات الطائرات العاديه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</si>
  <si>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ميكانيكي اصلح محركات الطائرات النفاثه</t>
  </si>
  <si>
    <r>
      <rPr>
        <sz val="11"/>
        <color theme="1"/>
        <rFont val="Lohit Devanagari"/>
        <family val="2"/>
      </rPr>
      <t xml:space="preserve">عامل صيانه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</si>
  <si>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مشغل مضخة خرسانة</t>
  </si>
  <si>
    <t xml:space="preserve">مشغل معدة</t>
  </si>
  <si>
    <t xml:space="preserve">مشغل معدات ثقيله</t>
  </si>
  <si>
    <t xml:space="preserve">ميكانيكى معدات ثقيلة</t>
  </si>
  <si>
    <t xml:space="preserve">ميكانيكي اصلح معدات البوتاجازات المنزليه</t>
  </si>
  <si>
    <t xml:space="preserve">عامل مراقبه جوده النتاج في مصانع اللت والمعدات</t>
  </si>
  <si>
    <t xml:space="preserve">عامل صيانه مرافق</t>
  </si>
  <si>
    <r>
      <rPr>
        <sz val="11"/>
        <color theme="1"/>
        <rFont val="Lohit Devanagari"/>
        <family val="2"/>
      </rPr>
      <t xml:space="preserve">عمال تركيب وتجميع وصيانه اللت والجهزه الدقيقه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اخرون</t>
    </r>
  </si>
  <si>
    <t xml:space="preserve">كهربائى صيانه</t>
  </si>
  <si>
    <t xml:space="preserve">مساعد كهربائى</t>
  </si>
  <si>
    <r>
      <rPr>
        <sz val="11"/>
        <color theme="1"/>
        <rFont val="Lohit Devanagari"/>
        <family val="2"/>
      </rPr>
      <t xml:space="preserve">كهربائي معدات كهربائيه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كهربائي</t>
    </r>
  </si>
  <si>
    <t xml:space="preserve">كهربائي تركيب واصلح محركات ومعدات  ومولدات</t>
  </si>
  <si>
    <t xml:space="preserve">كهربائي تركيب واصلح محولت</t>
  </si>
  <si>
    <t xml:space="preserve">كهربائي تركيب واصلح لوحات توزيع</t>
  </si>
  <si>
    <t xml:space="preserve">كهربائي تركيب واصلح اجهزه الضبط</t>
  </si>
  <si>
    <t xml:space="preserve">كهربائي تركيب واصلح اجهزه القياس </t>
  </si>
  <si>
    <t xml:space="preserve">كهربائي تركيب واصلح مصاعد كهربائيه</t>
  </si>
  <si>
    <t xml:space="preserve">كهربائي تركيب واصلح اجهزه التبريد</t>
  </si>
  <si>
    <t xml:space="preserve">كهربائي تركيب واصلح سيارات</t>
  </si>
  <si>
    <t xml:space="preserve">فنى كهربائى سيارات</t>
  </si>
  <si>
    <t xml:space="preserve">كهربائي تركيب واصلح بطاريات</t>
  </si>
  <si>
    <t xml:space="preserve">كهربائي تركيب واصلح اجهزه الشاره والتحكم</t>
  </si>
  <si>
    <t xml:space="preserve">كهربائي تركيب واصلح الت المكاتب</t>
  </si>
  <si>
    <t xml:space="preserve">كهربائي تركيب واصلح معدات منزليه</t>
  </si>
  <si>
    <t xml:space="preserve">تركيب وصيانة كهربائية</t>
  </si>
  <si>
    <r>
      <rPr>
        <sz val="11"/>
        <color theme="1"/>
        <rFont val="Lohit Devanagari"/>
        <family val="2"/>
      </rPr>
      <t xml:space="preserve">عمال تركيب واصلح وصيانه المعدات الكهربائيه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اخرون</t>
    </r>
  </si>
  <si>
    <r>
      <rPr>
        <sz val="11"/>
        <color theme="1"/>
        <rFont val="Lohit Devanagari"/>
        <family val="2"/>
      </rPr>
      <t xml:space="preserve">كهربائي تركيب واصلح معدات الكترونيه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</si>
  <si>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كهربائي اجهزه راديو وتلفزيون</t>
  </si>
  <si>
    <t xml:space="preserve">كهربائي  رادار</t>
  </si>
  <si>
    <t xml:space="preserve">صيانة وتركيب نظم القمار الصناعية</t>
  </si>
  <si>
    <r>
      <rPr>
        <sz val="11"/>
        <color theme="1"/>
        <rFont val="Lohit Devanagari"/>
        <family val="2"/>
      </rPr>
      <t xml:space="preserve">كهربائي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لسلكي</t>
    </r>
  </si>
  <si>
    <r>
      <rPr>
        <sz val="11"/>
        <color theme="1"/>
        <rFont val="Lohit Devanagari"/>
        <family val="2"/>
      </rPr>
      <t xml:space="preserve">كهربائي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اجهزه قياسي</t>
    </r>
  </si>
  <si>
    <r>
      <rPr>
        <sz val="11"/>
        <color theme="1"/>
        <rFont val="Lohit Devanagari"/>
        <family val="2"/>
      </rPr>
      <t xml:space="preserve">كهربائي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اجهزه طبيه وصناعيه</t>
    </r>
  </si>
  <si>
    <r>
      <rPr>
        <sz val="11"/>
        <color theme="1"/>
        <rFont val="Lohit Devanagari"/>
        <family val="2"/>
      </rPr>
      <t xml:space="preserve">كهربائي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الت احصائيه الكترون</t>
    </r>
  </si>
  <si>
    <t xml:space="preserve">عمال تركيب واصلح الجهزه اللكترونيه</t>
  </si>
  <si>
    <r>
      <rPr>
        <sz val="11"/>
        <color theme="1"/>
        <rFont val="Lohit Devanagari"/>
        <family val="2"/>
      </rPr>
      <t xml:space="preserve">عامل تجميع معدات كهربائيه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دفايه  مروحه </t>
    </r>
    <r>
      <rPr>
        <sz val="11"/>
        <color theme="1"/>
        <rFont val="Calibri"/>
        <family val="2"/>
        <charset val="1"/>
      </rPr>
      <t xml:space="preserve">.... </t>
    </r>
    <r>
      <rPr>
        <sz val="11"/>
        <color theme="1"/>
        <rFont val="Lohit Devanagari"/>
        <family val="2"/>
      </rPr>
      <t xml:space="preserve">الخ</t>
    </r>
  </si>
  <si>
    <r>
      <rPr>
        <sz val="11"/>
        <color theme="1"/>
        <rFont val="Lohit Devanagari"/>
        <family val="2"/>
      </rPr>
      <t xml:space="preserve">عامل تجميع معدات الكترونيه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راديو  تليفزيون </t>
    </r>
    <r>
      <rPr>
        <sz val="11"/>
        <color theme="1"/>
        <rFont val="Calibri"/>
        <family val="2"/>
        <charset val="1"/>
      </rPr>
      <t xml:space="preserve">....</t>
    </r>
    <r>
      <rPr>
        <sz val="11"/>
        <color theme="1"/>
        <rFont val="Lohit Devanagari"/>
        <family val="2"/>
      </rPr>
      <t xml:space="preserve">الخ</t>
    </r>
  </si>
  <si>
    <t xml:space="preserve">عامل تجميع اسلك المعدات الكهربائيه</t>
  </si>
  <si>
    <t xml:space="preserve">عامل تجهيز اسلك</t>
  </si>
  <si>
    <t xml:space="preserve">عامل لف الملفات الكهربائيه بالماكينه</t>
  </si>
  <si>
    <t xml:space="preserve">عامل لف الملفات الكهربائيه باليد</t>
  </si>
  <si>
    <t xml:space="preserve">عامل تجميع المعدات الكهربائيه</t>
  </si>
  <si>
    <t xml:space="preserve">عامل اصلح راديو  كهربائي راديو</t>
  </si>
  <si>
    <r>
      <rPr>
        <sz val="11"/>
        <color theme="1"/>
        <rFont val="Lohit Devanagari"/>
        <family val="2"/>
      </rPr>
      <t xml:space="preserve">عامل اصلح تليفزيون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كهربائي</t>
    </r>
  </si>
  <si>
    <r>
      <rPr>
        <sz val="11"/>
        <color theme="1"/>
        <rFont val="Lohit Devanagari"/>
        <family val="2"/>
      </rPr>
      <t xml:space="preserve">عمال اصلح الراديو والتليفزيون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اخرون</t>
    </r>
  </si>
  <si>
    <t xml:space="preserve">كهربائي توصيلت عام</t>
  </si>
  <si>
    <r>
      <rPr>
        <sz val="11"/>
        <color theme="1"/>
        <rFont val="Lohit Devanagari"/>
        <family val="2"/>
      </rPr>
      <t xml:space="preserve">كهربائي توصيلت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مباني</t>
    </r>
  </si>
  <si>
    <r>
      <rPr>
        <sz val="11"/>
        <color theme="1"/>
        <rFont val="Lohit Devanagari"/>
        <family val="2"/>
      </rPr>
      <t xml:space="preserve">كهربائي توصيلت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سفن</t>
    </r>
  </si>
  <si>
    <r>
      <rPr>
        <sz val="11"/>
        <color theme="1"/>
        <rFont val="Lohit Devanagari"/>
        <family val="2"/>
      </rPr>
      <t xml:space="preserve">كهربائي توصيلت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طائرات</t>
    </r>
  </si>
  <si>
    <r>
      <rPr>
        <sz val="11"/>
        <color theme="1"/>
        <rFont val="Lohit Devanagari"/>
        <family val="2"/>
      </rPr>
      <t xml:space="preserve">كهربائي توصيلت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مركبات</t>
    </r>
  </si>
  <si>
    <r>
      <rPr>
        <sz val="11"/>
        <color theme="1"/>
        <rFont val="Lohit Devanagari"/>
        <family val="2"/>
      </rPr>
      <t xml:space="preserve">كهربائي توصيلت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مسرح واستديو</t>
    </r>
  </si>
  <si>
    <r>
      <rPr>
        <sz val="11"/>
        <color theme="1"/>
        <rFont val="Lohit Devanagari"/>
        <family val="2"/>
      </rPr>
      <t xml:space="preserve">كهربائيو التوصيلت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</si>
  <si>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تركيب تليفون</t>
  </si>
  <si>
    <t xml:space="preserve">عامل تركيب تلغراف</t>
  </si>
  <si>
    <r>
      <rPr>
        <sz val="11"/>
        <color theme="1"/>
        <rFont val="Lohit Devanagari"/>
        <family val="2"/>
      </rPr>
      <t xml:space="preserve">عامل اصلح تليفون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ميكانيكي تليفون</t>
    </r>
  </si>
  <si>
    <r>
      <rPr>
        <sz val="11"/>
        <color theme="1"/>
        <rFont val="Lohit Devanagari"/>
        <family val="2"/>
      </rPr>
      <t xml:space="preserve">عامل اصلح تلغراف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ميكانيكي تلغراف</t>
    </r>
  </si>
  <si>
    <r>
      <rPr>
        <sz val="11"/>
        <color theme="1"/>
        <rFont val="Lohit Devanagari"/>
        <family val="2"/>
      </rPr>
      <t xml:space="preserve">عامل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كهربائي شبكات ضغط عالي</t>
    </r>
  </si>
  <si>
    <r>
      <rPr>
        <sz val="11"/>
        <color theme="1"/>
        <rFont val="Lohit Devanagari"/>
        <family val="2"/>
      </rPr>
      <t xml:space="preserve">عامل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كهربائي شبكات ضغط منخفضي</t>
    </r>
  </si>
  <si>
    <t xml:space="preserve">عامل الخطوط الكهربائيه لوسائل النقل</t>
  </si>
  <si>
    <r>
      <rPr>
        <sz val="11"/>
        <color theme="1"/>
        <rFont val="Lohit Devanagari"/>
        <family val="2"/>
      </rPr>
      <t xml:space="preserve">عامل خطوط كهربائيه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تلغراف</t>
    </r>
  </si>
  <si>
    <r>
      <rPr>
        <sz val="11"/>
        <color theme="1"/>
        <rFont val="Lohit Devanagari"/>
        <family val="2"/>
      </rPr>
      <t xml:space="preserve">عامل لحام كابلت كهربائيه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كهربائي</t>
    </r>
  </si>
  <si>
    <t xml:space="preserve">عمال الخطوط الكهربائيه ووصل الكابلت</t>
  </si>
  <si>
    <t xml:space="preserve">عامل مراقبه جوده النتاج للمعدات الكهربائيه</t>
  </si>
  <si>
    <t xml:space="preserve">عامل صاري لسلكي</t>
  </si>
  <si>
    <t xml:space="preserve">عمال تركيب واصلح وصيانه المعدات الكهربائيه</t>
  </si>
  <si>
    <t xml:space="preserve">عامل تشغيل اجهزه الرسال بمحطات الراديو والتلفزيون</t>
  </si>
  <si>
    <r>
      <rPr>
        <sz val="11"/>
        <color theme="1"/>
        <rFont val="Lohit Devanagari"/>
        <family val="2"/>
      </rPr>
      <t xml:space="preserve">عامل تشغيل اجهزه الذاعه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راديو</t>
    </r>
  </si>
  <si>
    <t xml:space="preserve">عامل تشغيل اجهزه الذاعه والتلفزيون</t>
  </si>
  <si>
    <r>
      <rPr>
        <sz val="11"/>
        <color theme="1"/>
        <rFont val="Lohit Devanagari"/>
        <family val="2"/>
      </rPr>
      <t xml:space="preserve">عمال تشغيل استوديوهات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</si>
  <si>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تشغيل معدات تسجيل الصوت</t>
  </si>
  <si>
    <t xml:space="preserve">عامل تشغيل معدات نقل وتكبير الصوت</t>
  </si>
  <si>
    <t xml:space="preserve">عامل ميكانيكي اله عرضي سينمائي</t>
  </si>
  <si>
    <r>
      <rPr>
        <sz val="11"/>
        <color theme="1"/>
        <rFont val="Lohit Devanagari"/>
        <family val="2"/>
      </rPr>
      <t xml:space="preserve">عمال تشغيل معدات السينما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</si>
  <si>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سمكري ادوات صحيه</t>
  </si>
  <si>
    <r>
      <rPr>
        <sz val="11"/>
        <color theme="1"/>
        <rFont val="Lohit Devanagari"/>
        <family val="2"/>
      </rPr>
      <t xml:space="preserve">عامل تركيب مواسير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سمكري مواسير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</si>
  <si>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تركيب مواسير بالسفن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سمكري</t>
    </r>
  </si>
  <si>
    <t xml:space="preserve">عامل تركيب مواسير وانابيب طائرات</t>
  </si>
  <si>
    <t xml:space="preserve">عامل انتاج اكريليك</t>
  </si>
  <si>
    <r>
      <rPr>
        <sz val="11"/>
        <color theme="1"/>
        <rFont val="Lohit Devanagari"/>
        <family val="2"/>
      </rPr>
      <t xml:space="preserve">سمكريو الدوات الصحيه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</si>
  <si>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مدرب لحام</t>
  </si>
  <si>
    <t xml:space="preserve">لحام آرجـون</t>
  </si>
  <si>
    <t xml:space="preserve">لحام بالكسجين والكهرباء</t>
  </si>
  <si>
    <t xml:space="preserve">لحام</t>
  </si>
  <si>
    <t xml:space="preserve">لحام بالكهرباء باليد</t>
  </si>
  <si>
    <t xml:space="preserve">لحام بالكهرباء بالماكينه</t>
  </si>
  <si>
    <t xml:space="preserve">لحام بالمركبات الحراريه</t>
  </si>
  <si>
    <t xml:space="preserve">لحام بالمركبات المعدنيه</t>
  </si>
  <si>
    <t xml:space="preserve">عامل تشغيل جهاز لحام بالمقاومه الكهربائيه</t>
  </si>
  <si>
    <t xml:space="preserve">عامل قطع معادن بالكسجين باليد</t>
  </si>
  <si>
    <t xml:space="preserve">عامل لحام وقطع تحت الماء</t>
  </si>
  <si>
    <t xml:space="preserve">عامل قطع معادن بالكسجين بالماكينه</t>
  </si>
  <si>
    <t xml:space="preserve">اللحامون وعمال القطع باللهب الخرون</t>
  </si>
  <si>
    <t xml:space="preserve">اخصائى تشكيل معادن</t>
  </si>
  <si>
    <r>
      <rPr>
        <sz val="11"/>
        <color theme="1"/>
        <rFont val="Lohit Devanagari"/>
        <family val="2"/>
      </rPr>
      <t xml:space="preserve">عامل تشكيل الواح معدنيه رقيقه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</si>
  <si>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r>
      <rPr>
        <sz val="11"/>
        <color theme="1"/>
        <rFont val="Lohit Devanagari"/>
        <family val="2"/>
      </rPr>
      <t xml:space="preserve">عامل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سمكري سيارات مركبات</t>
    </r>
  </si>
  <si>
    <t xml:space="preserve">عامل ضبط زوايا واتزان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</si>
  <si>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طائرات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سمكري طائرات</t>
    </r>
  </si>
  <si>
    <t xml:space="preserve">عامل  تركيبات تكييف هواء</t>
  </si>
  <si>
    <r>
      <rPr>
        <sz val="11"/>
        <color theme="1"/>
        <rFont val="Lohit Devanagari"/>
        <family val="2"/>
      </rPr>
      <t xml:space="preserve">عامل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زخارف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عمال خان الخليلي</t>
    </r>
  </si>
  <si>
    <r>
      <rPr>
        <sz val="11"/>
        <color theme="1"/>
        <rFont val="Lohit Devanagari"/>
        <family val="2"/>
      </rPr>
      <t xml:space="preserve">عامل تشكيل الواح نحاسيه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دقاق نحاس </t>
    </r>
  </si>
  <si>
    <r>
      <rPr>
        <sz val="11"/>
        <color theme="1"/>
        <rFont val="Lohit Devanagari"/>
        <family val="2"/>
      </rPr>
      <t xml:space="preserve">عامل تشكيل الواح صفيح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سمكري بلدي</t>
    </r>
  </si>
  <si>
    <t xml:space="preserve">عمال تشكيل اللواح المعدنيه الرقيقه</t>
  </si>
  <si>
    <r>
      <rPr>
        <sz val="11"/>
        <color theme="1"/>
        <rFont val="Lohit Devanagari"/>
        <family val="2"/>
      </rPr>
      <t xml:space="preserve">عامل شنكار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انشاءات معدنيه</t>
    </r>
  </si>
  <si>
    <t xml:space="preserve">عامل تشكيل في النشاءات المعدنيه</t>
  </si>
  <si>
    <r>
      <rPr>
        <sz val="11"/>
        <color theme="1"/>
        <rFont val="Lohit Devanagari"/>
        <family val="2"/>
      </rPr>
      <t xml:space="preserve">عامل تركيب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انشاءات معدنيه</t>
    </r>
  </si>
  <si>
    <t xml:space="preserve">عامل تركيبات ـ سكك حديد</t>
  </si>
  <si>
    <t xml:space="preserve">عامل تشكيل الواح السفن</t>
  </si>
  <si>
    <t xml:space="preserve">عامل تركيب بدن السفن المعدنيه</t>
  </si>
  <si>
    <t xml:space="preserve">عامل اصلح بدن السفن</t>
  </si>
  <si>
    <t xml:space="preserve">عامل هياكل سفن</t>
  </si>
  <si>
    <t xml:space="preserve">عامل صنع واصلح مراجل بخاريه</t>
  </si>
  <si>
    <r>
      <rPr>
        <sz val="11"/>
        <color theme="1"/>
        <rFont val="Lohit Devanagari"/>
        <family val="2"/>
      </rPr>
      <t xml:space="preserve">عامل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برشامجي باليد</t>
    </r>
  </si>
  <si>
    <r>
      <rPr>
        <sz val="11"/>
        <color theme="1"/>
        <rFont val="Lohit Devanagari"/>
        <family val="2"/>
      </rPr>
      <t xml:space="preserve">عامل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برشامجي بالماكينه</t>
    </r>
  </si>
  <si>
    <r>
      <rPr>
        <sz val="11"/>
        <color theme="1"/>
        <rFont val="Lohit Devanagari"/>
        <family val="2"/>
      </rPr>
      <t xml:space="preserve">عمال تشغيل وتشييد انشاءات معدنيه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اخرون</t>
    </r>
  </si>
  <si>
    <r>
      <rPr>
        <sz val="11"/>
        <color theme="1"/>
        <rFont val="Lohit Devanagari"/>
        <family val="2"/>
      </rPr>
      <t xml:space="preserve">عامل صنع جواهر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</si>
  <si>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عامل اصلح جواهر</t>
  </si>
  <si>
    <t xml:space="preserve">عامل قطع وصقل الحجار الكريمه</t>
  </si>
  <si>
    <r>
      <rPr>
        <sz val="11"/>
        <color theme="1"/>
        <rFont val="Lohit Devanagari"/>
        <family val="2"/>
      </rPr>
      <t xml:space="preserve">عامل تثبيت الحجار الكريمه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تركيب الفصوص </t>
    </r>
  </si>
  <si>
    <t xml:space="preserve">صانع ذهب وفضه</t>
  </si>
  <si>
    <r>
      <rPr>
        <sz val="11"/>
        <color theme="1"/>
        <rFont val="Lohit Devanagari"/>
        <family val="2"/>
      </rPr>
      <t xml:space="preserve">عامل تشغيل ماكينه سحب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تسطيح</t>
    </r>
  </si>
  <si>
    <t xml:space="preserve">صانع رقائق المعادن الثمنيه بالدق</t>
  </si>
  <si>
    <t xml:space="preserve">عامل الحفر علي الجواهر</t>
  </si>
  <si>
    <r>
      <rPr>
        <sz val="11"/>
        <color theme="1"/>
        <rFont val="Lohit Devanagari"/>
        <family val="2"/>
      </rPr>
      <t xml:space="preserve">عمال تشغيل الجواهر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</si>
  <si>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r>
      <rPr>
        <sz val="11"/>
        <color theme="1"/>
        <rFont val="Lohit Devanagari"/>
        <family val="2"/>
      </rPr>
      <t xml:space="preserve">نفاخ زجاج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عدا اجهزه المعامل</t>
    </r>
  </si>
  <si>
    <t xml:space="preserve">نفاخ زجاج لصنع اجهزه المعامل</t>
  </si>
  <si>
    <t xml:space="preserve">عامل مكبس  يدوي للزجاج</t>
  </si>
  <si>
    <t xml:space="preserve">عامل تشغيل ماكينه نفخ الزجاج</t>
  </si>
  <si>
    <t xml:space="preserve">عامل تشغيل ماكينه سحب الزجاج</t>
  </si>
  <si>
    <t xml:space="preserve">عامل تشغيل مكبس  ميكانيكي للزجاج</t>
  </si>
  <si>
    <t xml:space="preserve">عامل تقطيع زجاج البصريات</t>
  </si>
  <si>
    <t xml:space="preserve">عامل تجليخ وصقل زجاج البصريات</t>
  </si>
  <si>
    <t xml:space="preserve">عامل شطف زوايا زجاج البصريات</t>
  </si>
  <si>
    <r>
      <rPr>
        <sz val="11"/>
        <color theme="1"/>
        <rFont val="Lohit Devanagari"/>
        <family val="2"/>
      </rPr>
      <t xml:space="preserve">عامل تفضيض  المرايا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مراياتي</t>
    </r>
  </si>
  <si>
    <t xml:space="preserve">عامل ثني انابيب الزجاج</t>
  </si>
  <si>
    <t xml:space="preserve">عامل تشغيل ماكينه تسطيح الزجاج</t>
  </si>
  <si>
    <t xml:space="preserve">عامل تلميع الزجاج المسطح</t>
  </si>
  <si>
    <t xml:space="preserve">عامل تقطيع الزجاج</t>
  </si>
  <si>
    <t xml:space="preserve">عامل الكشف علي الزجاج المسطح</t>
  </si>
  <si>
    <t xml:space="preserve">عامل شطف زوايا الزجاج</t>
  </si>
  <si>
    <t xml:space="preserve">عامل صنع انابيب الزجاج</t>
  </si>
  <si>
    <t xml:space="preserve">عامل صنع الخيوط الزجاجيه</t>
  </si>
  <si>
    <t xml:space="preserve">عمال تشكيل وقطع وتجليخ وتشطيب</t>
  </si>
  <si>
    <r>
      <rPr>
        <sz val="11"/>
        <color theme="1"/>
        <rFont val="Lohit Devanagari"/>
        <family val="2"/>
      </rPr>
      <t xml:space="preserve">صانع الخزف والفخار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</si>
  <si>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مصمم منتجات الخزف والصيني</t>
  </si>
  <si>
    <t xml:space="preserve">مصمم خزف</t>
  </si>
  <si>
    <t xml:space="preserve">صانع قوالب الصيني</t>
  </si>
  <si>
    <t xml:space="preserve">عامل تشكيل منتجات الخزف والصيني</t>
  </si>
  <si>
    <t xml:space="preserve">خراط خزف وصيني</t>
  </si>
  <si>
    <t xml:space="preserve">عامل صب عجينه الخزف والصيني باليد</t>
  </si>
  <si>
    <t xml:space="preserve">عامل تشغيل مكبس  يدوي لصنع الخزف والصيني</t>
  </si>
  <si>
    <t xml:space="preserve">عامل تشغيل مكبس  ميكانيكي</t>
  </si>
  <si>
    <t xml:space="preserve">عامل تشغيل ماكينه بثق الطفله</t>
  </si>
  <si>
    <t xml:space="preserve">عمال تشكيل الخزف ومنتجات الطفل</t>
  </si>
  <si>
    <t xml:space="preserve">عامل فرن صهر الزجاج</t>
  </si>
  <si>
    <t xml:space="preserve">عامل فرن تخمير الزجاج</t>
  </si>
  <si>
    <t xml:space="preserve">عامل تشغيل فرن حرق الخزف والصيني</t>
  </si>
  <si>
    <t xml:space="preserve">عامل تشغيل قمينه طوب</t>
  </si>
  <si>
    <t xml:space="preserve">عمال افران الزجاج والخزف والصيني</t>
  </si>
  <si>
    <t xml:space="preserve">حفار زجاج</t>
  </si>
  <si>
    <t xml:space="preserve">نقاش  زجاج</t>
  </si>
  <si>
    <t xml:space="preserve">عامل نقش  الزجاج بالرمل المضغوط</t>
  </si>
  <si>
    <r>
      <rPr>
        <sz val="11"/>
        <color theme="1"/>
        <rFont val="Lohit Devanagari"/>
        <family val="2"/>
      </rPr>
      <t xml:space="preserve">عمال حفر ونقش  الزجاج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</si>
  <si>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دهان الزجاج باليد</t>
  </si>
  <si>
    <t xml:space="preserve">عامل دهان الخزف والصيني باليد</t>
  </si>
  <si>
    <t xml:space="preserve">عامل زخرفه الخزف والصيني</t>
  </si>
  <si>
    <t xml:space="preserve">عامل دهان الخزف والصيني بالرش </t>
  </si>
  <si>
    <t xml:space="preserve">عامل دهان الخزف والصيني بالغمس </t>
  </si>
  <si>
    <r>
      <rPr>
        <sz val="11"/>
        <color theme="1"/>
        <rFont val="Lohit Devanagari"/>
        <family val="2"/>
      </rPr>
      <t xml:space="preserve">عمال دهان وزخرفه الزجاج والخزف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اخرون</t>
    </r>
  </si>
  <si>
    <t xml:space="preserve">عامل دهانات</t>
  </si>
  <si>
    <t xml:space="preserve">عامل خلط مواد صنع الزجاج</t>
  </si>
  <si>
    <t xml:space="preserve">عامل اعداد طلء الخزف</t>
  </si>
  <si>
    <t xml:space="preserve">عامل طحن الطفله</t>
  </si>
  <si>
    <t xml:space="preserve">عامل مزج وصجن الطفله</t>
  </si>
  <si>
    <t xml:space="preserve">عامل خلط مواد الصنفره</t>
  </si>
  <si>
    <r>
      <rPr>
        <sz val="11"/>
        <color theme="1"/>
        <rFont val="Lohit Devanagari"/>
        <family val="2"/>
      </rPr>
      <t xml:space="preserve">عمال صناعه الزجاج والخزف والصيني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اخرون</t>
    </r>
  </si>
  <si>
    <t xml:space="preserve">عامل تشغيل ماكينه خلط المطاط</t>
  </si>
  <si>
    <t xml:space="preserve">عامل تشغيل ماكينه جندره المطاط</t>
  </si>
  <si>
    <t xml:space="preserve">عامل تشغيل ماكينه بثق المطاط</t>
  </si>
  <si>
    <t xml:space="preserve">عامل تشغيل ماكينه كبس  المطاط</t>
  </si>
  <si>
    <t xml:space="preserve">عامل تجميع منتجات المطاط</t>
  </si>
  <si>
    <t xml:space="preserve">عامل تشغيل ماكينه صنع اللدائن بالحقن</t>
  </si>
  <si>
    <t xml:space="preserve">عامل تشغيل ماكينه صنع اللدائن بالكبس </t>
  </si>
  <si>
    <t xml:space="preserve">عامل تشغيل ماكينه بثق اللدائن</t>
  </si>
  <si>
    <t xml:space="preserve">عامل تشغيل مكبس  اللدائن</t>
  </si>
  <si>
    <t xml:space="preserve">عامل تجميع منتجات اللدائن</t>
  </si>
  <si>
    <t xml:space="preserve">عمال صناعه المطاط ومنتجات اللدائن</t>
  </si>
  <si>
    <t xml:space="preserve">عامل صناعه تيله الطارات</t>
  </si>
  <si>
    <t xml:space="preserve">عامل صناعه الطارات</t>
  </si>
  <si>
    <t xml:space="preserve">عامل فلكنه الطارات بالبخار</t>
  </si>
  <si>
    <t xml:space="preserve">عامل كسوه الطارات</t>
  </si>
  <si>
    <r>
      <rPr>
        <sz val="11"/>
        <color theme="1"/>
        <rFont val="Lohit Devanagari"/>
        <family val="2"/>
      </rPr>
      <t xml:space="preserve">عامل اصلح كاوتشوك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لحام كاوتشوك</t>
    </r>
  </si>
  <si>
    <r>
      <rPr>
        <sz val="11"/>
        <color theme="1"/>
        <rFont val="Lohit Devanagari"/>
        <family val="2"/>
      </rPr>
      <t xml:space="preserve">عمال صناعه واصلح الطارات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</si>
  <si>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صانع صناديق ورق باليد</t>
  </si>
  <si>
    <t xml:space="preserve">عامل تشغيل ماكينه تصميغ الكرتون</t>
  </si>
  <si>
    <t xml:space="preserve">عامل تشغيل ماكينه تعليم الكرتون</t>
  </si>
  <si>
    <t xml:space="preserve">عامل تشغيل ماكينه قطع الكرتون</t>
  </si>
  <si>
    <t xml:space="preserve">عامل تشغيل ماكينه صنع صناديق الكرتون</t>
  </si>
  <si>
    <t xml:space="preserve">عامل تشغيل ماكينه صنع اكياسي الورق</t>
  </si>
  <si>
    <t xml:space="preserve">عامل تشغيل ماكينه صنع الكياس </t>
  </si>
  <si>
    <r>
      <rPr>
        <sz val="11"/>
        <color theme="1"/>
        <rFont val="Lohit Devanagari"/>
        <family val="2"/>
      </rPr>
      <t xml:space="preserve">عمال صنع منتجات الورق والكرتون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اخرون</t>
    </r>
  </si>
  <si>
    <r>
      <rPr>
        <sz val="11"/>
        <color theme="1"/>
        <rFont val="Lohit Devanagari"/>
        <family val="2"/>
      </rPr>
      <t xml:space="preserve">عامل طباعه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</si>
  <si>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طباع عام</t>
  </si>
  <si>
    <r>
      <rPr>
        <sz val="11"/>
        <color theme="1"/>
        <rFont val="Lohit Devanagari"/>
        <family val="2"/>
      </rPr>
      <t xml:space="preserve">صفاف حروف باليد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جميع يدوي</t>
    </r>
  </si>
  <si>
    <r>
      <rPr>
        <sz val="11"/>
        <color theme="1"/>
        <rFont val="Lohit Devanagari"/>
        <family val="2"/>
      </rPr>
      <t xml:space="preserve">عامل تشغيل ماكينه السبك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لدلو</t>
    </r>
  </si>
  <si>
    <t xml:space="preserve">عامل تشغيل ماكينه اللينوتيب</t>
  </si>
  <si>
    <t xml:space="preserve">عامل صفاف وتشغيل ماكينه اشرطه</t>
  </si>
  <si>
    <r>
      <rPr>
        <sz val="11"/>
        <color theme="1"/>
        <rFont val="Lohit Devanagari"/>
        <family val="2"/>
      </rPr>
      <t xml:space="preserve">عامل تشغيل ماكينه المونتيب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سباك</t>
    </r>
  </si>
  <si>
    <t xml:space="preserve">عامل التوضيب</t>
  </si>
  <si>
    <t xml:space="preserve">عامل التصفيح</t>
  </si>
  <si>
    <t xml:space="preserve">عامل تشغيل ماكينه السبك الفوتوغرافي</t>
  </si>
  <si>
    <t xml:space="preserve">عامل توضيب افلم السبك الفوتوغرافي</t>
  </si>
  <si>
    <r>
      <rPr>
        <sz val="11"/>
        <color theme="1"/>
        <rFont val="Lohit Devanagari"/>
        <family val="2"/>
      </rPr>
      <t xml:space="preserve">عمال صف الحروف يدويا واليا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اخرون</t>
    </r>
  </si>
  <si>
    <t xml:space="preserve">عامل تشغيل ماكينه طباعه اسطوانيه</t>
  </si>
  <si>
    <t xml:space="preserve">عامل تشغيل ماكينه طباعه مسطحه</t>
  </si>
  <si>
    <t xml:space="preserve">عامل تشغيل ماكينه طباعه دواره</t>
  </si>
  <si>
    <t xml:space="preserve">عامل طباعه ليتوغرافيه اوفست</t>
  </si>
  <si>
    <r>
      <rPr>
        <sz val="11"/>
        <color theme="1"/>
        <rFont val="Lohit Devanagari"/>
        <family val="2"/>
      </rPr>
      <t xml:space="preserve">عامل طباعه ليتوغرافيه مباشره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حجر</t>
    </r>
  </si>
  <si>
    <r>
      <rPr>
        <sz val="11"/>
        <color theme="1"/>
        <rFont val="Lohit Devanagari"/>
        <family val="2"/>
      </rPr>
      <t xml:space="preserve">عامل طباعه غائره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روتوغرافيه</t>
    </r>
  </si>
  <si>
    <t xml:space="preserve">عامل تشغيل ماكينه طبع ورق الحائط</t>
  </si>
  <si>
    <r>
      <rPr>
        <sz val="11"/>
        <color theme="1"/>
        <rFont val="Lohit Devanagari"/>
        <family val="2"/>
      </rPr>
      <t xml:space="preserve">عمال تشغيل ماكينات الطباعه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الطباعون اخرون</t>
    </r>
  </si>
  <si>
    <r>
      <rPr>
        <sz val="11"/>
        <color theme="1"/>
        <rFont val="Lohit Devanagari"/>
        <family val="2"/>
      </rPr>
      <t xml:space="preserve">عامل صب الفرم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استربوتيت</t>
    </r>
  </si>
  <si>
    <t xml:space="preserve">عامل النكلشه بالطلء الكهربائي</t>
  </si>
  <si>
    <r>
      <rPr>
        <sz val="11"/>
        <color theme="1"/>
        <rFont val="Lohit Devanagari"/>
        <family val="2"/>
      </rPr>
      <t xml:space="preserve">عمال صب الفرم والنكلشه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</si>
  <si>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حفار الحجار الليتوغرافيه</t>
  </si>
  <si>
    <t xml:space="preserve">حفار اللواح المعدنيه</t>
  </si>
  <si>
    <r>
      <rPr>
        <sz val="11"/>
        <color theme="1"/>
        <rFont val="Lohit Devanagari"/>
        <family val="2"/>
      </rPr>
      <t xml:space="preserve">حفار المهات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المتاريس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يدويا</t>
    </r>
  </si>
  <si>
    <t xml:space="preserve">حفار اكليشهات الخشب والمطاط</t>
  </si>
  <si>
    <t xml:space="preserve">حفار اختام</t>
  </si>
  <si>
    <r>
      <rPr>
        <sz val="11"/>
        <color theme="1"/>
        <rFont val="Lohit Devanagari"/>
        <family val="2"/>
      </rPr>
      <t xml:space="preserve">حفار السلندرات المعدنيه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بالماكينه</t>
    </r>
  </si>
  <si>
    <t xml:space="preserve">عامل تشغيل ماكينه الحفر اللي</t>
  </si>
  <si>
    <t xml:space="preserve">عامل تشغيل ماكينه النقل الليتوغراف</t>
  </si>
  <si>
    <t xml:space="preserve">حفار المعادن بواسطه الحماض  الكيماويه</t>
  </si>
  <si>
    <r>
      <rPr>
        <sz val="11"/>
        <color theme="1"/>
        <rFont val="Lohit Devanagari"/>
        <family val="2"/>
      </rPr>
      <t xml:space="preserve">عمال حفر اكليشهات الطبع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Lohit Devanagari"/>
        <family val="2"/>
      </rPr>
      <t xml:space="preserve">الحفر</t>
    </r>
  </si>
  <si>
    <r>
      <rPr>
        <sz val="11"/>
        <color theme="1"/>
        <rFont val="Lohit Devanagari"/>
        <family val="2"/>
      </rPr>
      <t xml:space="preserve">حفار فوتوغرافي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</si>
  <si>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عامل تصوير الي</t>
  </si>
  <si>
    <t xml:space="preserve">عامل الرتوش  علي السوالب</t>
  </si>
  <si>
    <t xml:space="preserve">عامل نقل الصور علي اللواح المعدنيه ضوئيا</t>
  </si>
  <si>
    <t xml:space="preserve">حفار فوتوغرافي بالحماض </t>
  </si>
  <si>
    <t xml:space="preserve">عامل الرتوش  علي اللواح المعدنيه</t>
  </si>
  <si>
    <r>
      <rPr>
        <sz val="11"/>
        <color theme="1"/>
        <rFont val="Lohit Devanagari"/>
        <family val="2"/>
      </rPr>
      <t xml:space="preserve">عمال الحفر الفوتوغرافي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</si>
  <si>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r>
      <rPr>
        <sz val="11"/>
        <color theme="1"/>
        <rFont val="Lohit Devanagari"/>
        <family val="2"/>
      </rPr>
      <t xml:space="preserve">عامل تجليد باليد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مجلد</t>
    </r>
  </si>
  <si>
    <t xml:space="preserve">عامل تجليد بالماكينه</t>
  </si>
  <si>
    <t xml:space="preserve">عامل تذهيب الكتب باليد</t>
  </si>
  <si>
    <t xml:space="preserve">عامل تذهيب الكتب بالماكينه</t>
  </si>
  <si>
    <t xml:space="preserve">مجلد كتب</t>
  </si>
  <si>
    <r>
      <rPr>
        <sz val="11"/>
        <color theme="1"/>
        <rFont val="Lohit Devanagari"/>
        <family val="2"/>
      </rPr>
      <t xml:space="preserve">عمال التجليد ومن اليهم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</si>
  <si>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تحميض  فوتوغرافي باللوان</t>
  </si>
  <si>
    <t xml:space="preserve">عامل تحميض  فوتوغرافي ابيض  واسود</t>
  </si>
  <si>
    <t xml:space="preserve">عامل طبع فوتوغرافي</t>
  </si>
  <si>
    <t xml:space="preserve">عامل تكبير فوتوغرافي</t>
  </si>
  <si>
    <t xml:space="preserve">عمال التحميض  والطبع الفوتوغرافي</t>
  </si>
  <si>
    <t xml:space="preserve">عامل رسم علي الشبكه الحريريه</t>
  </si>
  <si>
    <t xml:space="preserve">عامل طبع بالشبكه الحريريه</t>
  </si>
  <si>
    <t xml:space="preserve">عامل طبع بالكليشهات الخشبيه</t>
  </si>
  <si>
    <t xml:space="preserve">عامل طبع علي القمشه</t>
  </si>
  <si>
    <r>
      <rPr>
        <sz val="11"/>
        <color theme="1"/>
        <rFont val="Lohit Devanagari"/>
        <family val="2"/>
      </rPr>
      <t xml:space="preserve">عمال الطباعه الذين لم ترد مهنتهم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اخرون</t>
    </r>
  </si>
  <si>
    <t xml:space="preserve">نقاش </t>
  </si>
  <si>
    <t xml:space="preserve">نقاش  مباني</t>
  </si>
  <si>
    <t xml:space="preserve">نقاش  منشات حديديه وهياكل سفن</t>
  </si>
  <si>
    <r>
      <rPr>
        <sz val="11"/>
        <color theme="1"/>
        <rFont val="Lohit Devanagari"/>
        <family val="2"/>
      </rPr>
      <t xml:space="preserve">نقاشو النشاءات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</si>
  <si>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r>
      <rPr>
        <sz val="11"/>
        <color theme="1"/>
        <rFont val="Lohit Devanagari"/>
        <family val="2"/>
      </rPr>
      <t xml:space="preserve">نقاش  وعامل زخرفه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</si>
  <si>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نقاش  بالفرشه</t>
  </si>
  <si>
    <t xml:space="preserve">نقاش  بالرش </t>
  </si>
  <si>
    <t xml:space="preserve">نقاش  بالغمس  باليد</t>
  </si>
  <si>
    <r>
      <rPr>
        <sz val="11"/>
        <color theme="1"/>
        <rFont val="Lohit Devanagari"/>
        <family val="2"/>
      </rPr>
      <t xml:space="preserve">نقاش  لفتات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خطاط يفط</t>
    </r>
  </si>
  <si>
    <r>
      <rPr>
        <sz val="11"/>
        <color theme="1"/>
        <rFont val="Lohit Devanagari"/>
        <family val="2"/>
      </rPr>
      <t xml:space="preserve">نقاش  سيارات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نقاش  دوكو</t>
    </r>
  </si>
  <si>
    <r>
      <rPr>
        <sz val="11"/>
        <color theme="1"/>
        <rFont val="Lohit Devanagari"/>
        <family val="2"/>
      </rPr>
      <t xml:space="preserve">النقاشون الذين لم ترد مهنهم فيما سبق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اخرون</t>
    </r>
  </si>
  <si>
    <t xml:space="preserve">عامل صنع اللت الموسيقيه</t>
  </si>
  <si>
    <t xml:space="preserve">عمال اصلح وضبط اللت الموسيقيه</t>
  </si>
  <si>
    <t xml:space="preserve">عمال صنع وضبط اللت الموسيقيه</t>
  </si>
  <si>
    <r>
      <rPr>
        <sz val="11"/>
        <color theme="1"/>
        <rFont val="Lohit Devanagari"/>
        <family val="2"/>
      </rPr>
      <t xml:space="preserve">صانع سلل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اسبته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مشنات </t>
    </r>
    <r>
      <rPr>
        <sz val="11"/>
        <color theme="1"/>
        <rFont val="Calibri"/>
        <family val="2"/>
        <charset val="1"/>
      </rPr>
      <t xml:space="preserve">000</t>
    </r>
    <r>
      <rPr>
        <sz val="11"/>
        <color theme="1"/>
        <rFont val="Lohit Devanagari"/>
        <family val="2"/>
      </rPr>
      <t xml:space="preserve">الخ</t>
    </r>
  </si>
  <si>
    <r>
      <rPr>
        <sz val="11"/>
        <color theme="1"/>
        <rFont val="Lohit Devanagari"/>
        <family val="2"/>
      </rPr>
      <t xml:space="preserve">صانع اقفاص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قفاص </t>
    </r>
  </si>
  <si>
    <t xml:space="preserve">صانع الثاث من القش  والخيرزان</t>
  </si>
  <si>
    <t xml:space="preserve">صانع مقاطف</t>
  </si>
  <si>
    <r>
      <rPr>
        <sz val="11"/>
        <color theme="1"/>
        <rFont val="Lohit Devanagari"/>
        <family val="2"/>
      </rPr>
      <t xml:space="preserve">صانع حصر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حصري</t>
    </r>
  </si>
  <si>
    <t xml:space="preserve">صانع فرش  باليد</t>
  </si>
  <si>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Lohit Devanagari"/>
        <family val="2"/>
      </rPr>
      <t xml:space="preserve">صانع مكانس  </t>
    </r>
    <r>
      <rPr>
        <sz val="11"/>
        <color theme="1"/>
        <rFont val="Calibri"/>
        <family val="2"/>
        <charset val="1"/>
      </rPr>
      <t xml:space="preserve">(  </t>
    </r>
    <r>
      <rPr>
        <sz val="11"/>
        <color theme="1"/>
        <rFont val="Lohit Devanagari"/>
        <family val="2"/>
      </rPr>
      <t xml:space="preserve">مقشات</t>
    </r>
  </si>
  <si>
    <t xml:space="preserve">صانع سدد من الغاب والكياب</t>
  </si>
  <si>
    <r>
      <rPr>
        <sz val="11"/>
        <color theme="1"/>
        <rFont val="Lohit Devanagari"/>
        <family val="2"/>
      </rPr>
      <t xml:space="preserve">عمال صنع السلل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السبته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والفرش </t>
    </r>
  </si>
  <si>
    <t xml:space="preserve">عامل صنع المنتجات الخرسانيه</t>
  </si>
  <si>
    <t xml:space="preserve">عامل صنع منتجات السبستوس  والسمنت</t>
  </si>
  <si>
    <t xml:space="preserve">عامل صنع الحجار المصبوبه</t>
  </si>
  <si>
    <r>
      <rPr>
        <sz val="11"/>
        <color theme="1"/>
        <rFont val="Lohit Devanagari"/>
        <family val="2"/>
      </rPr>
      <t xml:space="preserve">عمال صنع المنتجات التعدنيه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اخرون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</si>
  <si>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تنظيف القطن من الشوائب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تضريبه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</si>
  <si>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تغذيه دولب الحليج بالقطن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تلقيم دواليب زهر</t>
    </r>
  </si>
  <si>
    <t xml:space="preserve">عامل تلقيم دواليب اسكارتو</t>
  </si>
  <si>
    <t xml:space="preserve">عامل تلقيم شفاط</t>
  </si>
  <si>
    <r>
      <rPr>
        <sz val="11"/>
        <color theme="1"/>
        <rFont val="Lohit Devanagari"/>
        <family val="2"/>
      </rPr>
      <t xml:space="preserve">عامل تسليك دولب الحلج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سكينه</t>
    </r>
  </si>
  <si>
    <t xml:space="preserve">عامل اصلح دولب الحليج  نجار دولب</t>
  </si>
  <si>
    <r>
      <rPr>
        <sz val="11"/>
        <color theme="1"/>
        <rFont val="Lohit Devanagari"/>
        <family val="2"/>
      </rPr>
      <t xml:space="preserve">عامل تربيط دولب الحليج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ربيط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</si>
  <si>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فرفره القطن المحلوج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فرفره الشعر والمقاوله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</si>
  <si>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مبخره بذره القطن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بالمباخر</t>
    </r>
  </si>
  <si>
    <t xml:space="preserve">عامل عبوه اسكارتو</t>
  </si>
  <si>
    <r>
      <rPr>
        <sz val="11"/>
        <color theme="1"/>
        <rFont val="Lohit Devanagari"/>
        <family val="2"/>
      </rPr>
      <t xml:space="preserve">عمال حلج القطان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</si>
  <si>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صنع ورق الصنفره</t>
  </si>
  <si>
    <t xml:space="preserve">عامل صنع مشمع الرضيه</t>
  </si>
  <si>
    <t xml:space="preserve">عامل صنع المشمع</t>
  </si>
  <si>
    <t xml:space="preserve">عامل تشغيل ماكينه صنع الثلج</t>
  </si>
  <si>
    <r>
      <rPr>
        <sz val="11"/>
        <color theme="1"/>
        <rFont val="Lohit Devanagari"/>
        <family val="2"/>
      </rPr>
      <t xml:space="preserve">عامل صنع الزراير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غير المعدنيه</t>
    </r>
  </si>
  <si>
    <t xml:space="preserve">عامل صنع الكرينه</t>
  </si>
  <si>
    <t xml:space="preserve">عامل صنع الغرابيل والمناخل</t>
  </si>
  <si>
    <t xml:space="preserve">صانع لعب الطفال</t>
  </si>
  <si>
    <t xml:space="preserve">عامل تعطين الكتان</t>
  </si>
  <si>
    <t xml:space="preserve">عامل تحنيط الطيور والحيوانات</t>
  </si>
  <si>
    <t xml:space="preserve">عامل تشغيل ماكينه تعبئه وقفل الوعيه والمعلبات</t>
  </si>
  <si>
    <t xml:space="preserve">عامل تعبئه</t>
  </si>
  <si>
    <r>
      <rPr>
        <sz val="11"/>
        <color theme="1"/>
        <rFont val="Lohit Devanagari"/>
        <family val="2"/>
      </rPr>
      <t xml:space="preserve">عامل تشغيل ماكينه لف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مكنجي تغليف</t>
    </r>
  </si>
  <si>
    <t xml:space="preserve">عامل تشغيل ماكينه لصق بطاقات</t>
  </si>
  <si>
    <t xml:space="preserve">عامل صنع الختام المطاط</t>
  </si>
  <si>
    <r>
      <rPr>
        <sz val="11"/>
        <color theme="1"/>
        <rFont val="Lohit Devanagari"/>
        <family val="2"/>
      </rPr>
      <t xml:space="preserve">عمال النتاج الذين لم ترد مهنهم فيما سبق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اخرون</t>
    </r>
  </si>
  <si>
    <t xml:space="preserve">متدرب بالجزام</t>
  </si>
  <si>
    <t xml:space="preserve">متدرب بالدرن</t>
  </si>
  <si>
    <t xml:space="preserve">فنى أبنية</t>
  </si>
  <si>
    <t xml:space="preserve">بناء بالطوب</t>
  </si>
  <si>
    <t xml:space="preserve">بناء بالدبش </t>
  </si>
  <si>
    <r>
      <rPr>
        <sz val="11"/>
        <color theme="1"/>
        <rFont val="Lohit Devanagari"/>
        <family val="2"/>
      </rPr>
      <t xml:space="preserve">بناء بالطوب الحريري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بناء افران</t>
    </r>
  </si>
  <si>
    <r>
      <rPr>
        <sz val="11"/>
        <color theme="1"/>
        <rFont val="Lohit Devanagari"/>
        <family val="2"/>
      </rPr>
      <t xml:space="preserve">عامل تركيب بلط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مبلط</t>
    </r>
  </si>
  <si>
    <t xml:space="preserve">عامل تركيب قيشاني</t>
  </si>
  <si>
    <t xml:space="preserve">عامل صنع وتركيب موزايكو</t>
  </si>
  <si>
    <r>
      <rPr>
        <sz val="11"/>
        <color theme="1"/>
        <rFont val="Lohit Devanagari"/>
        <family val="2"/>
      </rPr>
      <t xml:space="preserve">عامل تقطيع وتركيب الرخام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مرخماتي</t>
    </r>
  </si>
  <si>
    <t xml:space="preserve">مبلط بالدبش </t>
  </si>
  <si>
    <t xml:space="preserve">عامل الكحله</t>
  </si>
  <si>
    <t xml:space="preserve">عامل رصف الشوارع بالطوب او الحجر</t>
  </si>
  <si>
    <r>
      <rPr>
        <sz val="11"/>
        <color theme="1"/>
        <rFont val="Lohit Devanagari"/>
        <family val="2"/>
      </rPr>
      <t xml:space="preserve">البناءون بالطوب والحجار ومركبو البلط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اخرون</t>
    </r>
  </si>
  <si>
    <t xml:space="preserve">نجار مسلح</t>
  </si>
  <si>
    <r>
      <rPr>
        <sz val="11"/>
        <color theme="1"/>
        <rFont val="Lohit Devanagari"/>
        <family val="2"/>
      </rPr>
      <t xml:space="preserve">عامل تسليح الخرسانه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حداد مسلح</t>
    </r>
  </si>
  <si>
    <r>
      <rPr>
        <sz val="11"/>
        <color theme="1"/>
        <rFont val="Lohit Devanagari"/>
        <family val="2"/>
      </rPr>
      <t xml:space="preserve">عامل خرسانه مسلحه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طبليه</t>
    </r>
  </si>
  <si>
    <t xml:space="preserve">عامل تركيب الفسيفساء تيرازو</t>
  </si>
  <si>
    <t xml:space="preserve">عامل تشغيل ماكينه خلط الخرسانه</t>
  </si>
  <si>
    <t xml:space="preserve">عمال الخرسانه المسلحه وعمال تركيب الفسيفساء</t>
  </si>
  <si>
    <t xml:space="preserve">عامل تغطيه السقف بالمواد</t>
  </si>
  <si>
    <t xml:space="preserve">عامــل</t>
  </si>
  <si>
    <t xml:space="preserve">عامل ممتاز</t>
  </si>
  <si>
    <t xml:space="preserve">عامل خاص </t>
  </si>
  <si>
    <t xml:space="preserve">عامل اول</t>
  </si>
  <si>
    <t xml:space="preserve">عامل فنى تنفيذ</t>
  </si>
  <si>
    <t xml:space="preserve">نجــار</t>
  </si>
  <si>
    <r>
      <rPr>
        <sz val="11"/>
        <color theme="1"/>
        <rFont val="Lohit Devanagari"/>
        <family val="2"/>
      </rPr>
      <t xml:space="preserve">نجار تركيبات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</si>
  <si>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فنى نجار</t>
  </si>
  <si>
    <t xml:space="preserve">نجار صنع باب وشباك</t>
  </si>
  <si>
    <r>
      <rPr>
        <sz val="11"/>
        <color theme="1"/>
        <rFont val="Lohit Devanagari"/>
        <family val="2"/>
      </rPr>
      <t xml:space="preserve">نجار تركيب باب وشباك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نجار معمار</t>
    </r>
  </si>
  <si>
    <r>
      <rPr>
        <sz val="11"/>
        <color theme="1"/>
        <rFont val="Lohit Devanagari"/>
        <family val="2"/>
      </rPr>
      <t xml:space="preserve">نجار مسرح واستديو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نجار ديكورات</t>
    </r>
  </si>
  <si>
    <t xml:space="preserve">نجار تركيبات بالطائرات</t>
  </si>
  <si>
    <t xml:space="preserve">نجار تركيبات بالسفن</t>
  </si>
  <si>
    <t xml:space="preserve">نجار فليك</t>
  </si>
  <si>
    <t xml:space="preserve">نجار بلطه ثقيله</t>
  </si>
  <si>
    <t xml:space="preserve">نجار تركيب خشب ارضيات</t>
  </si>
  <si>
    <t xml:space="preserve">نجار تركيب باركيه</t>
  </si>
  <si>
    <r>
      <rPr>
        <sz val="11"/>
        <color theme="1"/>
        <rFont val="Lohit Devanagari"/>
        <family val="2"/>
      </rPr>
      <t xml:space="preserve">نجارو النشاءات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</si>
  <si>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r>
      <rPr>
        <sz val="11"/>
        <color theme="1"/>
        <rFont val="Lohit Devanagari"/>
        <family val="2"/>
      </rPr>
      <t xml:space="preserve">مبيض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</si>
  <si>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t xml:space="preserve">مبيض  اسمنت</t>
  </si>
  <si>
    <t xml:space="preserve">مبيض  زخرفي</t>
  </si>
  <si>
    <t xml:space="preserve">مبيض  طرطشه</t>
  </si>
  <si>
    <t xml:space="preserve">مبيض  جبس </t>
  </si>
  <si>
    <t xml:space="preserve">فورمجى جبس </t>
  </si>
  <si>
    <r>
      <rPr>
        <sz val="11"/>
        <color theme="1"/>
        <rFont val="Lohit Devanagari"/>
        <family val="2"/>
      </rPr>
      <t xml:space="preserve">عمال البياض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</si>
  <si>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وضع طبقه عازله للحراره</t>
  </si>
  <si>
    <t xml:space="preserve">عامل وضع طبقه عازله للرطوبه</t>
  </si>
  <si>
    <t xml:space="preserve">عامل وضع طبقه عازله للصوت</t>
  </si>
  <si>
    <t xml:space="preserve">عامل وضع طبقه عازله للثلجات والتكييف</t>
  </si>
  <si>
    <t xml:space="preserve">واضعو المواد العازله للحراره</t>
  </si>
  <si>
    <t xml:space="preserve">عامل معمارى</t>
  </si>
  <si>
    <t xml:space="preserve">عامل تركيب الزجاج في المباني</t>
  </si>
  <si>
    <t xml:space="preserve">عامل تركيب الطوب الزجاجي</t>
  </si>
  <si>
    <t xml:space="preserve">عامل تركيب زجاج المركبات</t>
  </si>
  <si>
    <t xml:space="preserve">عامل تركيب الزجاج في اطارات الرصاص  اوالنحاس </t>
  </si>
  <si>
    <t xml:space="preserve">تركيب ارضيات وأسقف معلقة</t>
  </si>
  <si>
    <r>
      <rPr>
        <sz val="11"/>
        <color theme="1"/>
        <rFont val="Lohit Devanagari"/>
        <family val="2"/>
      </rPr>
      <t xml:space="preserve">عمال تركيب الزجاج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</si>
  <si>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تركيب ارضيات اسفلتيه</t>
  </si>
  <si>
    <t xml:space="preserve">عامل تركيب ارضيات من بلط كاوتشوك</t>
  </si>
  <si>
    <r>
      <rPr>
        <sz val="11"/>
        <color theme="1"/>
        <rFont val="Lohit Devanagari"/>
        <family val="2"/>
      </rPr>
      <t xml:space="preserve">عامل تركيب مشمع ارضيات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لينوليوم</t>
    </r>
  </si>
  <si>
    <t xml:space="preserve">عامل تركيب مواسير المجاري</t>
  </si>
  <si>
    <t xml:space="preserve">غطاس  بحري</t>
  </si>
  <si>
    <t xml:space="preserve">عامل حفر ابار المياه</t>
  </si>
  <si>
    <t xml:space="preserve">عامل تركيب السقالت</t>
  </si>
  <si>
    <t xml:space="preserve">عامل صناعه الحجر الصناعي</t>
  </si>
  <si>
    <t xml:space="preserve">عامل صناعه وضرب الطوب</t>
  </si>
  <si>
    <t xml:space="preserve">البناؤون والنجارون وغيرهم</t>
  </si>
  <si>
    <t xml:space="preserve">خراط ميكانيكى</t>
  </si>
  <si>
    <t xml:space="preserve">ميكانيكى</t>
  </si>
  <si>
    <t xml:space="preserve">ميكانيكى هيدروليك</t>
  </si>
  <si>
    <t xml:space="preserve">ميكانيكي تشغيل ماكينه ديزل لتوليد القوي</t>
  </si>
  <si>
    <t xml:space="preserve">ميكانيكي وعامل تشغيل  توربينات بخاريه</t>
  </si>
  <si>
    <t xml:space="preserve">ميكانيكي تشغيل توربينات مائيه</t>
  </si>
  <si>
    <t xml:space="preserve">ميكانيكي تشغيل مراجل بخاريه</t>
  </si>
  <si>
    <r>
      <rPr>
        <sz val="11"/>
        <color theme="1"/>
        <rFont val="Lohit Devanagari"/>
        <family val="2"/>
      </rPr>
      <t xml:space="preserve">وقاد مرجل بخاري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عطشجي</t>
    </r>
  </si>
  <si>
    <t xml:space="preserve">عامل توزيع الحمل بمحطات توليد</t>
  </si>
  <si>
    <t xml:space="preserve">عامل لوحه التوزيع بمحطات توليد</t>
  </si>
  <si>
    <t xml:space="preserve">عمال تشغيل ماكينات توليد القوي</t>
  </si>
  <si>
    <r>
      <rPr>
        <sz val="11"/>
        <color theme="1"/>
        <rFont val="Lohit Devanagari"/>
        <family val="2"/>
      </rPr>
      <t xml:space="preserve">عامل تشغيل ماكينه ثابته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</t>
    </r>
  </si>
  <si>
    <r>
      <rPr>
        <sz val="11"/>
        <color theme="1"/>
        <rFont val="Lohit Devanagari"/>
        <family val="2"/>
      </rPr>
      <t xml:space="preserve">عامل تشغيل كباس  الهواء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</t>
    </r>
  </si>
  <si>
    <t xml:space="preserve">عامل تشغيل طلمبه ميكانيكه للمياه</t>
  </si>
  <si>
    <t xml:space="preserve">عامل تشغيل وحده تبريد</t>
  </si>
  <si>
    <t xml:space="preserve">عامل تشغيل وحده تدفئه وتكييف</t>
  </si>
  <si>
    <t xml:space="preserve">عامل تزييت وتشحيم الماكينات الثابت</t>
  </si>
  <si>
    <t xml:space="preserve">عمال تشغيل الماكينات الثابت</t>
  </si>
  <si>
    <r>
      <rPr>
        <sz val="11"/>
        <color theme="1"/>
        <rFont val="Lohit Devanagari"/>
        <family val="2"/>
      </rPr>
      <t xml:space="preserve">عامل شحن وتفريغ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بحري</t>
    </r>
  </si>
  <si>
    <t xml:space="preserve">عامل شحن السفن بالبترول والزيوت</t>
  </si>
  <si>
    <t xml:space="preserve">عامل شحن عربات البضاعه بالسكه الحديد</t>
  </si>
  <si>
    <t xml:space="preserve">عامل تحميل بذره</t>
  </si>
  <si>
    <t xml:space="preserve">عامل ترحيل اسكارتو وبال</t>
  </si>
  <si>
    <t xml:space="preserve">عامل شحن طائرات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</si>
  <si>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داخل المخازن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شيال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استفجي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تستيف زهر</t>
    </r>
  </si>
  <si>
    <t xml:space="preserve">عامل تستيف بذره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</si>
  <si>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تربيط بال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تغليف وحزم</t>
    </r>
  </si>
  <si>
    <t xml:space="preserve">عمال المواني وعمال الشحن والتفريغ</t>
  </si>
  <si>
    <t xml:space="preserve">عامل تثبيت الحبال في معدات الرفع</t>
  </si>
  <si>
    <t xml:space="preserve">عامل تثبيت الحبال الصلب بالسفن</t>
  </si>
  <si>
    <t xml:space="preserve">عامل تثبيت الحبال في حفر ابار</t>
  </si>
  <si>
    <t xml:space="preserve">خراز حبال</t>
  </si>
  <si>
    <r>
      <rPr>
        <sz val="11"/>
        <color theme="1"/>
        <rFont val="Lohit Devanagari"/>
        <family val="2"/>
      </rPr>
      <t xml:space="preserve">عمال تركيب وخرز الحبال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</si>
  <si>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عامل تشغيل ونش  كوبري</t>
  </si>
  <si>
    <r>
      <rPr>
        <sz val="11"/>
        <color theme="1"/>
        <rFont val="Lohit Devanagari"/>
        <family val="2"/>
      </rPr>
      <t xml:space="preserve">عامل تشغيل ونش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بيجه</t>
    </r>
  </si>
  <si>
    <t xml:space="preserve">عامل تشغيل ونش  متنقل علي عربه</t>
  </si>
  <si>
    <t xml:space="preserve">عامل تشغيل ونش  طبليه</t>
  </si>
  <si>
    <t xml:space="preserve">عامل تشغيل ونش  قفص </t>
  </si>
  <si>
    <t xml:space="preserve">عامل تشغيل ونش  شوكه</t>
  </si>
  <si>
    <t xml:space="preserve">عمال تشغيل الوناش  والت الرفع</t>
  </si>
  <si>
    <t xml:space="preserve">عامل تشغيل ماكينه جاروف</t>
  </si>
  <si>
    <t xml:space="preserve">عامل تشغيل ماكينه حفر القنوات</t>
  </si>
  <si>
    <t xml:space="preserve">عامل تشغيل ماكينه كياش </t>
  </si>
  <si>
    <t xml:space="preserve">عامل تشغيل خلط اسفلت</t>
  </si>
  <si>
    <t xml:space="preserve">عامل تشغيل ماكينه تسويه وفرش </t>
  </si>
  <si>
    <t xml:space="preserve">عامل تشغيل مجموعه خلط اسفلتيه</t>
  </si>
  <si>
    <t xml:space="preserve">عامل تشغيل ماكينه رصف الطرق</t>
  </si>
  <si>
    <t xml:space="preserve">عامل تشغيل هراس </t>
  </si>
  <si>
    <t xml:space="preserve">عامل تشغيل ماكينه دق خوازيق الساس </t>
  </si>
  <si>
    <t xml:space="preserve">عامل تشغيل ماكينه تقشيط التربه</t>
  </si>
  <si>
    <t xml:space="preserve">عامل تشغيل كراكه</t>
  </si>
  <si>
    <t xml:space="preserve">عامل تشغيل بلدوزر ـ سائق معدات ثقيله</t>
  </si>
  <si>
    <t xml:space="preserve">عامل تشغيل ماكينه تسويه الرض </t>
  </si>
  <si>
    <t xml:space="preserve">عمال تشغيل ماكينات تحريك التربه</t>
  </si>
  <si>
    <t xml:space="preserve">عامل تزييت وتشحيم معدات نقل وتحريك</t>
  </si>
  <si>
    <t xml:space="preserve">عمال تشغيل معدات نقل وتحريك المواد</t>
  </si>
  <si>
    <t xml:space="preserve">رئيس  بحري</t>
  </si>
  <si>
    <r>
      <rPr>
        <sz val="11"/>
        <color theme="1"/>
        <rFont val="Lohit Devanagari"/>
        <family val="2"/>
      </rPr>
      <t xml:space="preserve">بحري عجله القياده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دومنجي</t>
    </r>
  </si>
  <si>
    <t xml:space="preserve">بحري ممتاز</t>
  </si>
  <si>
    <t xml:space="preserve">بحري عادي</t>
  </si>
  <si>
    <t xml:space="preserve">مراكبي بدون ترخيص  من اداره التراخيص  الملحيه</t>
  </si>
  <si>
    <t xml:space="preserve">عامل رباط السفن</t>
  </si>
  <si>
    <t xml:space="preserve">مشغل مرسى</t>
  </si>
  <si>
    <t xml:space="preserve">عامل انوار السفن</t>
  </si>
  <si>
    <t xml:space="preserve">عامل تفويل</t>
  </si>
  <si>
    <t xml:space="preserve">بحاره السفن والمراكب الشراعيه</t>
  </si>
  <si>
    <t xml:space="preserve">ميكانيكي بخار بالسفن</t>
  </si>
  <si>
    <t xml:space="preserve">ميكانيكي ديزل بالسفن</t>
  </si>
  <si>
    <t xml:space="preserve">ميكانيكي مراجل بخاريه بالسفن</t>
  </si>
  <si>
    <t xml:space="preserve">وقاد بالسفن</t>
  </si>
  <si>
    <r>
      <rPr>
        <sz val="11"/>
        <color theme="1"/>
        <rFont val="Lohit Devanagari"/>
        <family val="2"/>
      </rPr>
      <t xml:space="preserve">ميكانيكو السفن ووقادوها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</si>
  <si>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t xml:space="preserve">سائق قاطره سكه حديد بخاريه</t>
  </si>
  <si>
    <t xml:space="preserve">وقاد قاطره سكه حديد بخاريه</t>
  </si>
  <si>
    <t xml:space="preserve">سائق قاطره سكه حديد كهربائيه</t>
  </si>
  <si>
    <t xml:space="preserve">سائق قاطره سكه حديد ديزل</t>
  </si>
  <si>
    <t xml:space="preserve">سائقوا قاطرات السكه الحديد ووقادوه</t>
  </si>
  <si>
    <r>
      <rPr>
        <sz val="11"/>
        <color theme="1"/>
        <rFont val="Lohit Devanagari"/>
        <family val="2"/>
      </rPr>
      <t xml:space="preserve">عامل فرمله بالسكه الحديد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فرملجي</t>
    </r>
  </si>
  <si>
    <r>
      <rPr>
        <sz val="11"/>
        <color theme="1"/>
        <rFont val="Lohit Devanagari"/>
        <family val="2"/>
      </rPr>
      <t xml:space="preserve">عامل اشاره بالسكه الحديد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</t>
    </r>
  </si>
  <si>
    <r>
      <rPr>
        <sz val="11"/>
        <color theme="1"/>
        <rFont val="Lohit Devanagari"/>
        <family val="2"/>
      </rPr>
      <t xml:space="preserve">عامل تحويله بالسكه الحديد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محولجي</t>
    </r>
  </si>
  <si>
    <t xml:space="preserve">ملحظ سائقين</t>
  </si>
  <si>
    <t xml:space="preserve">سائق</t>
  </si>
  <si>
    <t xml:space="preserve">سائق ممتاز</t>
  </si>
  <si>
    <t xml:space="preserve">سائق اول</t>
  </si>
  <si>
    <t xml:space="preserve">سائق ثانى</t>
  </si>
  <si>
    <t xml:space="preserve">سائق ترام او تروللي باص </t>
  </si>
  <si>
    <r>
      <rPr>
        <sz val="11"/>
        <color theme="1"/>
        <rFont val="Lohit Devanagari"/>
        <family val="2"/>
      </rPr>
      <t xml:space="preserve">سائق سياره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ملكي او اجره</t>
    </r>
  </si>
  <si>
    <t xml:space="preserve">سائق اتوبيس </t>
  </si>
  <si>
    <t xml:space="preserve">سائق سياره نقل</t>
  </si>
  <si>
    <t xml:space="preserve">سائق موتوسيكل</t>
  </si>
  <si>
    <t xml:space="preserve">سائق كلرك</t>
  </si>
  <si>
    <t xml:space="preserve">وناش </t>
  </si>
  <si>
    <t xml:space="preserve">سائق ونش  شوكه</t>
  </si>
  <si>
    <t xml:space="preserve">سائق ونش شوكة كهربائى</t>
  </si>
  <si>
    <t xml:space="preserve">سائق ونش ممرات ضيقة</t>
  </si>
  <si>
    <r>
      <rPr>
        <sz val="11"/>
        <color theme="1"/>
        <rFont val="Lohit Devanagari"/>
        <family val="2"/>
      </rPr>
      <t xml:space="preserve">سائقو المركبات الليه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الخرون</t>
    </r>
  </si>
  <si>
    <r>
      <rPr>
        <sz val="11"/>
        <color theme="1"/>
        <rFont val="Lohit Devanagari"/>
        <family val="2"/>
      </rPr>
      <t xml:space="preserve">حمال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تباع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Lohit Devanagari"/>
        <family val="2"/>
      </rPr>
      <t xml:space="preserve">مندوب تسليم</t>
    </r>
  </si>
  <si>
    <r>
      <rPr>
        <sz val="11"/>
        <color theme="1"/>
        <rFont val="Lohit Devanagari"/>
        <family val="2"/>
      </rPr>
      <t xml:space="preserve">سائق مركبه ركوب يجرها حيوان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سائق</t>
    </r>
  </si>
  <si>
    <t xml:space="preserve">سائق مركبه بضائع يجرها حيوان</t>
  </si>
  <si>
    <t xml:space="preserve">خيال</t>
  </si>
  <si>
    <t xml:space="preserve">جمال</t>
  </si>
  <si>
    <t xml:space="preserve">سائقو الحيوان والمركبات يجرها حيوان</t>
  </si>
  <si>
    <r>
      <rPr>
        <sz val="11"/>
        <color theme="1"/>
        <rFont val="Lohit Devanagari"/>
        <family val="2"/>
      </rPr>
      <t xml:space="preserve">سائق مركبه تدفع باليد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عربجي يد</t>
    </r>
  </si>
  <si>
    <r>
      <rPr>
        <sz val="11"/>
        <color theme="1"/>
        <rFont val="Lohit Devanagari"/>
        <family val="2"/>
      </rPr>
      <t xml:space="preserve">سائق مركبه ذات بدال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سائق ترسيكل</t>
    </r>
  </si>
  <si>
    <t xml:space="preserve">عامل فتح كوبري او هويس  او بوابه</t>
  </si>
  <si>
    <t xml:space="preserve">عامل تشغيل بوابه مزلقان سكه حديد</t>
  </si>
  <si>
    <r>
      <rPr>
        <sz val="11"/>
        <color theme="1"/>
        <rFont val="Lohit Devanagari"/>
        <family val="2"/>
      </rPr>
      <t xml:space="preserve">ملحظ مناره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ملحظ فنار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جويه ا</t>
    </r>
  </si>
  <si>
    <t xml:space="preserve">عامل تشحيم وتزييت وسائل النقل</t>
  </si>
  <si>
    <r>
      <rPr>
        <sz val="11"/>
        <color theme="1"/>
        <rFont val="Lohit Devanagari"/>
        <family val="2"/>
      </rPr>
      <t xml:space="preserve">عامل دريسه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عسكري دريسه</t>
    </r>
  </si>
  <si>
    <t xml:space="preserve">عمال تشغيل وسائل النقل الخرون</t>
  </si>
  <si>
    <t xml:space="preserve">عامل رباط سفينه</t>
  </si>
  <si>
    <r>
      <rPr>
        <sz val="11"/>
        <color theme="1"/>
        <rFont val="Lohit Devanagari"/>
        <family val="2"/>
      </rPr>
      <t xml:space="preserve">فاعل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عادي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 xml:space="preserve">عامل تراحيل</t>
    </r>
  </si>
  <si>
    <t xml:space="preserve">عتال</t>
  </si>
  <si>
    <t xml:space="preserve">رئيس  عمال</t>
  </si>
  <si>
    <t xml:space="preserve">صاحب معاش 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</si>
</sst>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00"/>
    <numFmt numFmtId="166" formatCode="000000"/>
    <numFmt numFmtId="167" formatCode="@"/>
    <numFmt numFmtId="168" formatCode="dd\-mm\-yy"/>
    <numFmt numFmtId="169" formatCode="\(000&quot;) &quot;0000\-0000"/>
    <numFmt numFmtId="170" formatCode="_(* #,##0.00_);_(* \(#,##0.00\);_(* \-??_);_(@_)"/>
    <numFmt numFmtId="171" formatCode="_(* #,##0_);_(* \(#,##0\);_(* \-??_);_(@_)"/>
    <numFmt numFmtId="172" formatCode="000000000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Calibri"/>
      <family val="2"/>
      <charset val="1"/>
    </font>
    <font>
      <sz val="11"/>
      <color theme="1"/>
      <name val="Lohit Devanaga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7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8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9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0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8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9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71" fontId="0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AY201" headerRowCount="1" totalsRowCount="0" totalsRowShown="0">
  <autoFilter ref="A1:AY201"/>
  <tableColumns count="51">
    <tableColumn id="1" name="No."/>
    <tableColumn id="2" name="Code"/>
    <tableColumn id="3" name="Status"/>
    <tableColumn id="4" name="Employee Name in English"/>
    <tableColumn id="5" name="Employee Name in Arabic"/>
    <tableColumn id="6" name="Job title in Arabic"/>
    <tableColumn id="7" name="Job title in English"/>
    <tableColumn id="8" name="SI Job Code"/>
    <tableColumn id="9" name="Social Insurance Title"/>
    <tableColumn id="10" name="Department"/>
    <tableColumn id="11" name="Sector"/>
    <tableColumn id="12" name="Site"/>
    <tableColumn id="13" name="Weekly Days off"/>
    <tableColumn id="14" name="Meal&#10;Allowance"/>
    <tableColumn id="15" name="Overtime"/>
    <tableColumn id="16" name="Bus Route"/>
    <tableColumn id="17" name="Hiring Date"/>
    <tableColumn id="18" name="Work Period"/>
    <tableColumn id="19" name="Mobile No."/>
    <tableColumn id="20" name="Sec. Mobile No."/>
    <tableColumn id="21" name="SI No."/>
    <tableColumn id="22" name="SI Status"/>
    <tableColumn id="23" name="SI Basic Wage"/>
    <tableColumn id="24" name="SI Gross Wage"/>
    <tableColumn id="25" name="Med. Insurance"/>
    <tableColumn id="26" name="ID No."/>
    <tableColumn id="27" name="Date&#10;Of Birth"/>
    <tableColumn id="28" name="Age"/>
    <tableColumn id="29" name="ID&#10;Issuing Date"/>
    <tableColumn id="30" name="ID&#10;Exp. Date"/>
    <tableColumn id="31" name="Gender"/>
    <tableColumn id="32" name="Military&#10;Service"/>
    <tableColumn id="33" name="Marital&#10;Status"/>
    <tableColumn id="34" name="Religion"/>
    <tableColumn id="35" name="Qualification Degree"/>
    <tableColumn id="36" name="Original&#10;Graduation Certificate"/>
    <tableColumn id="37" name="Original&#10;Military Certificate"/>
    <tableColumn id="38" name="Original&#10;Birth Certificate"/>
    <tableColumn id="39" name="Finger&#10;Print Record"/>
    <tableColumn id="40" name="ID Copy"/>
    <tableColumn id="41" name="6 Personal Photos"/>
    <tableColumn id="42" name="Medical Form&#10;No. 111"/>
    <tableColumn id="43" name="SI Record"/>
    <tableColumn id="44" name="Copy&#10;SI Form 1"/>
    <tableColumn id="45" name="Copy&#10;SI Form 6"/>
    <tableColumn id="46" name="Contract"/>
    <tableColumn id="47" name="File Status"/>
    <tableColumn id="48" name="Comments"/>
    <tableColumn id="49" name="Notice&#10;Date"/>
    <tableColumn id="50" name="Resignation&#10;Date"/>
    <tableColumn id="51" name="Resignation Reason"/>
  </tableColumns>
</table>
</file>

<file path=xl/tables/table2.xml><?xml version="1.0" encoding="utf-8"?>
<table xmlns="http://schemas.openxmlformats.org/spreadsheetml/2006/main" id="2" name="Table2" displayName="Table2" ref="I1:J21" headerRowCount="1" totalsRowCount="0" totalsRowShown="0">
  <autoFilter ref="I1:J21"/>
  <tableColumns count="2">
    <tableColumn id="1" name="Department"/>
    <tableColumn id="2" name="Sector"/>
  </tableColumns>
</table>
</file>

<file path=xl/tables/table3.xml><?xml version="1.0" encoding="utf-8"?>
<table xmlns="http://schemas.openxmlformats.org/spreadsheetml/2006/main" id="3" name="Table3" displayName="Table3" ref="A1:B3053" headerRowCount="1" totalsRowCount="0" totalsRowShown="0">
  <autoFilter ref="A1:B3053"/>
  <tableColumns count="2">
    <tableColumn id="1" name="Job Code"/>
    <tableColumn id="2" name="Title"/>
  </tableColumns>
</table>
</file>

<file path=xl/tables/table4.xml><?xml version="1.0" encoding="utf-8"?>
<table xmlns="http://schemas.openxmlformats.org/spreadsheetml/2006/main" id="4" name="Table4" displayName="Table4" ref="A1:G7" headerRowCount="1" totalsRowCount="0" totalsRowShown="0">
  <autoFilter ref="A1:G7"/>
  <tableColumns count="7">
    <tableColumn id="1" name="WorkingStatus"/>
    <tableColumn id="2" name="Site"/>
    <tableColumn id="3" name="WeeklyDaysOff"/>
    <tableColumn id="4" name="BusRoute"/>
    <tableColumn id="5" name="MilitaryService"/>
    <tableColumn id="6" name="SI Basic Wage"/>
    <tableColumn id="7" name="SI Gross W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2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1" activeCellId="0" sqref="A11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" width="8.27"/>
    <col collapsed="false" customWidth="true" hidden="false" outlineLevel="0" max="2" min="2" style="1" width="9.63"/>
    <col collapsed="false" customWidth="true" hidden="false" outlineLevel="0" max="3" min="3" style="1" width="10.63"/>
    <col collapsed="false" customWidth="true" hidden="false" outlineLevel="0" max="4" min="4" style="2" width="26"/>
    <col collapsed="false" customWidth="true" hidden="false" outlineLevel="0" max="5" min="5" style="2" width="25"/>
    <col collapsed="false" customWidth="true" hidden="false" outlineLevel="0" max="6" min="6" style="2" width="21"/>
    <col collapsed="false" customWidth="true" hidden="false" outlineLevel="0" max="7" min="7" style="2" width="22"/>
    <col collapsed="false" customWidth="true" hidden="false" outlineLevel="0" max="8" min="8" style="2" width="14.82"/>
    <col collapsed="false" customWidth="true" hidden="false" outlineLevel="0" max="9" min="9" style="2" width="28.45"/>
    <col collapsed="false" customWidth="true" hidden="false" outlineLevel="0" max="10" min="10" style="2" width="16.54"/>
    <col collapsed="false" customWidth="true" hidden="false" outlineLevel="0" max="11" min="11" style="2" width="12.73"/>
    <col collapsed="false" customWidth="true" hidden="false" outlineLevel="0" max="12" min="12" style="2" width="12"/>
    <col collapsed="false" customWidth="true" hidden="false" outlineLevel="0" max="13" min="13" style="2" width="19.18"/>
    <col collapsed="false" customWidth="true" hidden="false" outlineLevel="0" max="14" min="14" style="2" width="13.91"/>
    <col collapsed="false" customWidth="true" hidden="false" outlineLevel="0" max="16" min="15" style="2" width="12"/>
    <col collapsed="false" customWidth="true" hidden="false" outlineLevel="0" max="17" min="17" style="2" width="14.73"/>
    <col collapsed="false" customWidth="true" hidden="false" outlineLevel="0" max="18" min="18" style="2" width="13.36"/>
    <col collapsed="false" customWidth="true" hidden="false" outlineLevel="0" max="19" min="19" style="2" width="14.54"/>
    <col collapsed="false" customWidth="true" hidden="false" outlineLevel="0" max="20" min="20" style="2" width="18.36"/>
    <col collapsed="false" customWidth="true" hidden="false" outlineLevel="0" max="22" min="21" style="2" width="12"/>
    <col collapsed="false" customWidth="true" hidden="false" outlineLevel="0" max="23" min="23" style="2" width="16.63"/>
    <col collapsed="false" customWidth="true" hidden="false" outlineLevel="0" max="24" min="24" style="2" width="17.18"/>
    <col collapsed="false" customWidth="true" hidden="false" outlineLevel="0" max="25" min="25" style="2" width="18.45"/>
    <col collapsed="false" customWidth="true" hidden="false" outlineLevel="0" max="26" min="26" style="2" width="14.91"/>
    <col collapsed="false" customWidth="true" hidden="false" outlineLevel="0" max="27" min="27" style="2" width="11.91"/>
    <col collapsed="false" customWidth="true" hidden="false" outlineLevel="0" max="28" min="28" style="2" width="8.45"/>
    <col collapsed="false" customWidth="true" hidden="false" outlineLevel="0" max="29" min="29" style="2" width="15.54"/>
    <col collapsed="false" customWidth="true" hidden="false" outlineLevel="0" max="30" min="30" style="2" width="13.36"/>
    <col collapsed="false" customWidth="true" hidden="false" outlineLevel="0" max="31" min="31" style="2" width="12"/>
    <col collapsed="false" customWidth="true" hidden="false" outlineLevel="0" max="32" min="32" style="2" width="11.82"/>
    <col collapsed="false" customWidth="true" hidden="false" outlineLevel="0" max="33" min="33" style="2" width="11.45"/>
    <col collapsed="false" customWidth="true" hidden="false" outlineLevel="0" max="34" min="34" style="2" width="11.91"/>
    <col collapsed="false" customWidth="true" hidden="false" outlineLevel="0" max="35" min="35" style="2" width="21.82"/>
    <col collapsed="false" customWidth="true" hidden="false" outlineLevel="0" max="36" min="36" style="2" width="22"/>
    <col collapsed="false" customWidth="true" hidden="false" outlineLevel="0" max="37" min="37" style="2" width="24.18"/>
    <col collapsed="false" customWidth="true" hidden="false" outlineLevel="0" max="38" min="38" style="2" width="21"/>
    <col collapsed="false" customWidth="true" hidden="false" outlineLevel="0" max="39" min="39" style="2" width="18.63"/>
    <col collapsed="false" customWidth="true" hidden="false" outlineLevel="0" max="40" min="40" style="2" width="11.82"/>
    <col collapsed="false" customWidth="true" hidden="false" outlineLevel="0" max="41" min="41" style="2" width="12"/>
    <col collapsed="false" customWidth="true" hidden="false" outlineLevel="0" max="42" min="42" style="2" width="19"/>
    <col collapsed="false" customWidth="true" hidden="false" outlineLevel="0" max="45" min="43" style="2" width="13.09"/>
    <col collapsed="false" customWidth="true" hidden="false" outlineLevel="0" max="46" min="46" style="2" width="12.63"/>
    <col collapsed="false" customWidth="true" hidden="false" outlineLevel="0" max="47" min="47" style="2" width="17.73"/>
    <col collapsed="false" customWidth="true" hidden="false" outlineLevel="0" max="48" min="48" style="2" width="14.45"/>
    <col collapsed="false" customWidth="true" hidden="false" outlineLevel="0" max="49" min="49" style="2" width="13"/>
    <col collapsed="false" customWidth="true" hidden="false" outlineLevel="0" max="50" min="50" style="2" width="15.09"/>
    <col collapsed="false" customWidth="true" hidden="false" outlineLevel="0" max="51" min="51" style="2" width="24.82"/>
    <col collapsed="false" customWidth="true" hidden="false" outlineLevel="0" max="52" min="52" style="2" width="15.09"/>
    <col collapsed="false" customWidth="true" hidden="false" outlineLevel="0" max="53" min="53" style="2" width="27.27"/>
    <col collapsed="false" customWidth="false" hidden="false" outlineLevel="0" max="16384" min="54" style="2" width="8.73"/>
  </cols>
  <sheetData>
    <row r="1" customFormat="false" ht="31.5" hidden="false" customHeight="tru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3" t="s">
        <v>25</v>
      </c>
      <c r="AA1" s="4" t="s">
        <v>26</v>
      </c>
      <c r="AB1" s="3" t="s">
        <v>27</v>
      </c>
      <c r="AC1" s="4" t="s">
        <v>28</v>
      </c>
      <c r="AD1" s="4" t="s">
        <v>29</v>
      </c>
      <c r="AE1" s="3" t="s">
        <v>30</v>
      </c>
      <c r="AF1" s="4" t="s">
        <v>31</v>
      </c>
      <c r="AG1" s="4" t="s">
        <v>32</v>
      </c>
      <c r="AH1" s="3" t="s">
        <v>33</v>
      </c>
      <c r="AI1" s="3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3" t="s">
        <v>39</v>
      </c>
      <c r="AO1" s="3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3" t="s">
        <v>45</v>
      </c>
      <c r="AU1" s="3" t="s">
        <v>46</v>
      </c>
      <c r="AV1" s="3" t="s">
        <v>47</v>
      </c>
      <c r="AW1" s="4" t="s">
        <v>48</v>
      </c>
      <c r="AX1" s="4" t="s">
        <v>49</v>
      </c>
      <c r="AY1" s="3" t="s">
        <v>50</v>
      </c>
    </row>
    <row r="2" customFormat="false" ht="14.25" hidden="false" customHeight="false" outlineLevel="0" collapsed="false">
      <c r="A2" s="5" t="n">
        <f aca="false">ROW()-1</f>
        <v>1</v>
      </c>
      <c r="B2" s="6" t="n">
        <v>240001</v>
      </c>
      <c r="C2" s="7" t="s">
        <v>51</v>
      </c>
      <c r="D2" s="8" t="s">
        <v>52</v>
      </c>
      <c r="E2" s="9" t="s">
        <v>53</v>
      </c>
      <c r="F2" s="9" t="s">
        <v>54</v>
      </c>
      <c r="G2" s="8" t="s">
        <v>55</v>
      </c>
      <c r="H2" s="10"/>
      <c r="I2" s="11" t="str">
        <f aca="false">IFERROR(VLOOKUP(H2,'SI Codes'!$A:$B,2,FALSE()),"")</f>
        <v/>
      </c>
      <c r="J2" s="7" t="s">
        <v>55</v>
      </c>
      <c r="K2" s="12" t="str">
        <f aca="false">IFERROR(VLOOKUP(J2,Lists!$I$1:$J$21,2,FALSE()),"")</f>
        <v>GM</v>
      </c>
      <c r="L2" s="7" t="s">
        <v>56</v>
      </c>
      <c r="M2" s="7" t="s">
        <v>57</v>
      </c>
      <c r="N2" s="7" t="s">
        <v>58</v>
      </c>
      <c r="O2" s="7" t="s">
        <v>58</v>
      </c>
      <c r="P2" s="13"/>
      <c r="Q2" s="14" t="n">
        <v>45505</v>
      </c>
      <c r="R2" s="15" t="str">
        <f aca="true">IF(Q2="","",IF(C2="Resigned",IF(AX2="","",DATEDIF(Q2,AX2,"y")&amp;"y "&amp;DATEDIF(Q2,AX2,"ym")&amp;"m"),DATEDIF(Q2,TODAY(),"y")&amp;"y "&amp;DATEDIF(Q2,TODAY(),"ym")&amp;"m"))</f>
        <v>1y 5m</v>
      </c>
      <c r="S2" s="16" t="n">
        <v>1271301076</v>
      </c>
      <c r="T2" s="16" t="n">
        <v>1206037776</v>
      </c>
      <c r="U2" s="17" t="n">
        <v>13707503</v>
      </c>
      <c r="V2" s="7" t="s">
        <v>59</v>
      </c>
      <c r="W2" s="18"/>
      <c r="X2" s="18"/>
      <c r="Y2" s="7"/>
      <c r="Z2" s="19" t="n">
        <v>28803080200111</v>
      </c>
      <c r="AA2" s="20" t="n">
        <f aca="false">IFERROR(DATE(IF(LEFT(Z2,1)="2",1900,2000)+VALUE(MID(Z2,2,2)),VALUE(MID(Z2,4,2)),VALUE(MID(Z2,6,2))),"")</f>
        <v>32210</v>
      </c>
      <c r="AB2" s="15" t="str">
        <f aca="true">IF(AA2="","",DATEDIF(AA2,TODAY(),"y")&amp;"y "&amp;DATEDIF(AA2,TODAY(),"ym")&amp;"m")</f>
        <v>37y 9m</v>
      </c>
      <c r="AC2" s="14"/>
      <c r="AD2" s="14"/>
      <c r="AE2" s="7" t="s">
        <v>60</v>
      </c>
      <c r="AF2" s="7" t="s">
        <v>61</v>
      </c>
      <c r="AG2" s="7" t="s">
        <v>62</v>
      </c>
      <c r="AH2" s="7" t="s">
        <v>63</v>
      </c>
      <c r="AI2" s="21" t="s">
        <v>64</v>
      </c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5" t="str">
        <f aca="false">IF(COUNTIF(AJ2:AT2,"Yes")=COLUMNS(AJ2:AT2),"Yes","No")</f>
        <v>No</v>
      </c>
      <c r="AV2" s="21"/>
      <c r="AW2" s="14"/>
      <c r="AX2" s="14"/>
      <c r="AY2" s="21"/>
    </row>
    <row r="3" customFormat="false" ht="14.25" hidden="false" customHeight="false" outlineLevel="0" collapsed="false">
      <c r="A3" s="5" t="n">
        <f aca="false">ROW()-1</f>
        <v>2</v>
      </c>
      <c r="B3" s="6" t="n">
        <v>240003</v>
      </c>
      <c r="C3" s="7" t="s">
        <v>51</v>
      </c>
      <c r="D3" s="8" t="s">
        <v>65</v>
      </c>
      <c r="E3" s="9" t="s">
        <v>66</v>
      </c>
      <c r="F3" s="9" t="s">
        <v>67</v>
      </c>
      <c r="G3" s="8" t="s">
        <v>68</v>
      </c>
      <c r="H3" s="10"/>
      <c r="I3" s="11" t="str">
        <f aca="false">IFERROR(VLOOKUP(H3,'SI Codes'!$A:$B,2,FALSE()),"")</f>
        <v/>
      </c>
      <c r="J3" s="7" t="s">
        <v>69</v>
      </c>
      <c r="K3" s="12" t="str">
        <f aca="false">IFERROR(VLOOKUP(J3,Lists!$I$1:$J$21,2,FALSE()),"")</f>
        <v>R&amp;D</v>
      </c>
      <c r="L3" s="7" t="s">
        <v>56</v>
      </c>
      <c r="M3" s="7" t="s">
        <v>57</v>
      </c>
      <c r="N3" s="7" t="s">
        <v>58</v>
      </c>
      <c r="O3" s="7" t="s">
        <v>58</v>
      </c>
      <c r="P3" s="13"/>
      <c r="Q3" s="14" t="n">
        <v>45505</v>
      </c>
      <c r="R3" s="15" t="str">
        <f aca="true">IF(Q3="","",IF(C3="Resigned",IF(AX3="","",DATEDIF(Q3,AX3,"y")&amp;"y "&amp;DATEDIF(Q3,AX3,"ym")&amp;"m"),DATEDIF(Q3,TODAY(),"y")&amp;"y "&amp;DATEDIF(Q3,TODAY(),"ym")&amp;"m"))</f>
        <v>1y 5m</v>
      </c>
      <c r="S3" s="16" t="n">
        <v>1061684411</v>
      </c>
      <c r="T3" s="16" t="n">
        <v>1272832690</v>
      </c>
      <c r="U3" s="17" t="n">
        <v>78220556</v>
      </c>
      <c r="V3" s="7" t="s">
        <v>59</v>
      </c>
      <c r="W3" s="18"/>
      <c r="X3" s="18"/>
      <c r="Y3" s="7"/>
      <c r="Z3" s="19" t="n">
        <v>29306061300156</v>
      </c>
      <c r="AA3" s="20" t="n">
        <f aca="false">IFERROR(DATE(IF(LEFT(Z3,1)="2",1900,2000)+VALUE(MID(Z3,2,2)),VALUE(MID(Z3,4,2)),VALUE(MID(Z3,6,2))),"")</f>
        <v>34126</v>
      </c>
      <c r="AB3" s="15" t="str">
        <f aca="true">IF(AA3="","",DATEDIF(AA3,TODAY(),"y")&amp;"y "&amp;DATEDIF(AA3,TODAY(),"ym")&amp;"m")</f>
        <v>32y 6m</v>
      </c>
      <c r="AC3" s="14"/>
      <c r="AD3" s="14"/>
      <c r="AE3" s="7" t="s">
        <v>60</v>
      </c>
      <c r="AF3" s="7"/>
      <c r="AG3" s="7" t="s">
        <v>70</v>
      </c>
      <c r="AH3" s="7" t="s">
        <v>63</v>
      </c>
      <c r="AI3" s="21" t="s">
        <v>64</v>
      </c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5" t="str">
        <f aca="false">IF(COUNTIF(AJ3:AT3,"Yes")=COLUMNS(AJ3:AT3),"Yes","No")</f>
        <v>No</v>
      </c>
      <c r="AV3" s="21"/>
      <c r="AW3" s="14"/>
      <c r="AX3" s="14"/>
      <c r="AY3" s="21"/>
    </row>
    <row r="4" customFormat="false" ht="14.25" hidden="false" customHeight="false" outlineLevel="0" collapsed="false">
      <c r="A4" s="5" t="n">
        <f aca="false">ROW()-1</f>
        <v>3</v>
      </c>
      <c r="B4" s="6" t="n">
        <v>240004</v>
      </c>
      <c r="C4" s="7" t="s">
        <v>51</v>
      </c>
      <c r="D4" s="8" t="s">
        <v>71</v>
      </c>
      <c r="E4" s="9" t="s">
        <v>72</v>
      </c>
      <c r="F4" s="9" t="s">
        <v>73</v>
      </c>
      <c r="G4" s="8" t="s">
        <v>74</v>
      </c>
      <c r="H4" s="10"/>
      <c r="I4" s="11" t="str">
        <f aca="false">IFERROR(VLOOKUP(H4,'SI Codes'!$A:$B,2,FALSE()),"")</f>
        <v/>
      </c>
      <c r="J4" s="7" t="s">
        <v>75</v>
      </c>
      <c r="K4" s="12" t="str">
        <f aca="false">IFERROR(VLOOKUP(J4,Lists!$I$1:$J$21,2,FALSE()),"")</f>
        <v>HR and Admin</v>
      </c>
      <c r="L4" s="7" t="s">
        <v>56</v>
      </c>
      <c r="M4" s="7" t="s">
        <v>57</v>
      </c>
      <c r="N4" s="7" t="s">
        <v>58</v>
      </c>
      <c r="O4" s="7" t="s">
        <v>58</v>
      </c>
      <c r="P4" s="13"/>
      <c r="Q4" s="14" t="n">
        <v>45505</v>
      </c>
      <c r="R4" s="15" t="str">
        <f aca="true">IF(Q4="","",IF(C4="Resigned",IF(AX4="","",DATEDIF(Q4,AX4,"y")&amp;"y "&amp;DATEDIF(Q4,AX4,"ym")&amp;"m"),DATEDIF(Q4,TODAY(),"y")&amp;"y "&amp;DATEDIF(Q4,TODAY(),"ym")&amp;"m"))</f>
        <v>1y 5m</v>
      </c>
      <c r="S4" s="16" t="n">
        <v>1226067738</v>
      </c>
      <c r="T4" s="16" t="n">
        <v>1129525516</v>
      </c>
      <c r="U4" s="17" t="n">
        <v>67950739</v>
      </c>
      <c r="V4" s="7" t="s">
        <v>59</v>
      </c>
      <c r="W4" s="18"/>
      <c r="X4" s="18"/>
      <c r="Y4" s="7"/>
      <c r="Z4" s="19" t="n">
        <v>29803010110755</v>
      </c>
      <c r="AA4" s="20" t="n">
        <f aca="false">IFERROR(DATE(IF(LEFT(Z4,1)="2",1900,2000)+VALUE(MID(Z4,2,2)),VALUE(MID(Z4,4,2)),VALUE(MID(Z4,6,2))),"")</f>
        <v>35855</v>
      </c>
      <c r="AB4" s="15" t="str">
        <f aca="true">IF(AA4="","",DATEDIF(AA4,TODAY(),"y")&amp;"y "&amp;DATEDIF(AA4,TODAY(),"ym")&amp;"m")</f>
        <v>27y 10m</v>
      </c>
      <c r="AC4" s="14"/>
      <c r="AD4" s="14"/>
      <c r="AE4" s="7" t="s">
        <v>60</v>
      </c>
      <c r="AF4" s="7"/>
      <c r="AG4" s="7" t="s">
        <v>62</v>
      </c>
      <c r="AH4" s="7" t="s">
        <v>63</v>
      </c>
      <c r="AI4" s="21" t="s">
        <v>76</v>
      </c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5" t="str">
        <f aca="false">IF(COUNTIF(AJ4:AT4,"Yes")=COLUMNS(AJ4:AT4),"Yes","No")</f>
        <v>No</v>
      </c>
      <c r="AV4" s="21"/>
      <c r="AW4" s="14"/>
      <c r="AX4" s="14"/>
      <c r="AY4" s="21"/>
    </row>
    <row r="5" customFormat="false" ht="14.25" hidden="false" customHeight="false" outlineLevel="0" collapsed="false">
      <c r="A5" s="5" t="n">
        <f aca="false">ROW()-1</f>
        <v>4</v>
      </c>
      <c r="B5" s="6" t="n">
        <v>240005</v>
      </c>
      <c r="C5" s="7" t="s">
        <v>51</v>
      </c>
      <c r="D5" s="8" t="s">
        <v>77</v>
      </c>
      <c r="E5" s="9" t="s">
        <v>78</v>
      </c>
      <c r="F5" s="9" t="s">
        <v>79</v>
      </c>
      <c r="G5" s="8" t="s">
        <v>80</v>
      </c>
      <c r="H5" s="10"/>
      <c r="I5" s="11" t="str">
        <f aca="false">IFERROR(VLOOKUP(H5,'SI Codes'!$A:$B,2,FALSE()),"")</f>
        <v/>
      </c>
      <c r="J5" s="7" t="s">
        <v>81</v>
      </c>
      <c r="K5" s="12" t="str">
        <f aca="false">IFERROR(VLOOKUP(J5,Lists!$I$1:$J$21,2,FALSE()),"")</f>
        <v>Supply Chain</v>
      </c>
      <c r="L5" s="7" t="s">
        <v>56</v>
      </c>
      <c r="M5" s="7" t="s">
        <v>57</v>
      </c>
      <c r="N5" s="7" t="s">
        <v>58</v>
      </c>
      <c r="O5" s="7" t="s">
        <v>58</v>
      </c>
      <c r="P5" s="13"/>
      <c r="Q5" s="14" t="n">
        <v>45505</v>
      </c>
      <c r="R5" s="15" t="str">
        <f aca="true">IF(Q5="","",IF(C5="Resigned",IF(AX5="","",DATEDIF(Q5,AX5,"y")&amp;"y "&amp;DATEDIF(Q5,AX5,"ym")&amp;"m"),DATEDIF(Q5,TODAY(),"y")&amp;"y "&amp;DATEDIF(Q5,TODAY(),"ym")&amp;"m"))</f>
        <v>1y 5m</v>
      </c>
      <c r="S5" s="16" t="n">
        <v>1272845302</v>
      </c>
      <c r="T5" s="16" t="n">
        <v>1011251189</v>
      </c>
      <c r="U5" s="17"/>
      <c r="V5" s="7"/>
      <c r="W5" s="18"/>
      <c r="X5" s="18"/>
      <c r="Y5" s="7"/>
      <c r="Z5" s="19"/>
      <c r="AA5" s="20" t="str">
        <f aca="false">IFERROR(DATE(IF(LEFT(Z5,1)="2",1900,2000)+VALUE(MID(Z5,2,2)),VALUE(MID(Z5,4,2)),VALUE(MID(Z5,6,2))),"")</f>
        <v/>
      </c>
      <c r="AB5" s="15" t="str">
        <f aca="true">IF(AA5="","",DATEDIF(AA5,TODAY(),"y")&amp;"y "&amp;DATEDIF(AA5,TODAY(),"ym")&amp;"m")</f>
        <v/>
      </c>
      <c r="AC5" s="14"/>
      <c r="AD5" s="14"/>
      <c r="AE5" s="7" t="s">
        <v>82</v>
      </c>
      <c r="AF5" s="7"/>
      <c r="AG5" s="7" t="s">
        <v>62</v>
      </c>
      <c r="AH5" s="7" t="s">
        <v>63</v>
      </c>
      <c r="AI5" s="21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5" t="str">
        <f aca="false">IF(COUNTIF(AJ5:AT5,"Yes")=COLUMNS(AJ5:AT5),"Yes","No")</f>
        <v>No</v>
      </c>
      <c r="AV5" s="21"/>
      <c r="AW5" s="14"/>
      <c r="AX5" s="14"/>
      <c r="AY5" s="21"/>
    </row>
    <row r="6" customFormat="false" ht="14.25" hidden="false" customHeight="false" outlineLevel="0" collapsed="false">
      <c r="A6" s="5" t="n">
        <f aca="false">ROW()-1</f>
        <v>5</v>
      </c>
      <c r="B6" s="6" t="n">
        <v>240006</v>
      </c>
      <c r="C6" s="7" t="s">
        <v>51</v>
      </c>
      <c r="D6" s="8" t="s">
        <v>83</v>
      </c>
      <c r="E6" s="9" t="s">
        <v>84</v>
      </c>
      <c r="F6" s="9" t="s">
        <v>85</v>
      </c>
      <c r="G6" s="8" t="s">
        <v>86</v>
      </c>
      <c r="H6" s="10"/>
      <c r="I6" s="11" t="str">
        <f aca="false">IFERROR(VLOOKUP(H6,'SI Codes'!$A:$B,2,FALSE()),"")</f>
        <v/>
      </c>
      <c r="J6" s="7" t="s">
        <v>87</v>
      </c>
      <c r="K6" s="12" t="str">
        <f aca="false">IFERROR(VLOOKUP(J6,Lists!$I$1:$J$21,2,FALSE()),"")</f>
        <v>HR and Admin</v>
      </c>
      <c r="L6" s="7" t="s">
        <v>56</v>
      </c>
      <c r="M6" s="7" t="s">
        <v>57</v>
      </c>
      <c r="N6" s="7" t="s">
        <v>59</v>
      </c>
      <c r="O6" s="7" t="s">
        <v>59</v>
      </c>
      <c r="P6" s="13"/>
      <c r="Q6" s="14" t="n">
        <v>45505</v>
      </c>
      <c r="R6" s="15" t="str">
        <f aca="true">IF(Q6="","",IF(C6="Resigned",IF(AX6="","",DATEDIF(Q6,AX6,"y")&amp;"y "&amp;DATEDIF(Q6,AX6,"ym")&amp;"m"),DATEDIF(Q6,TODAY(),"y")&amp;"y "&amp;DATEDIF(Q6,TODAY(),"ym")&amp;"m"))</f>
        <v>1y 5m</v>
      </c>
      <c r="S6" s="16" t="n">
        <v>1122572244</v>
      </c>
      <c r="T6" s="16"/>
      <c r="U6" s="17" t="n">
        <v>85861868</v>
      </c>
      <c r="V6" s="7" t="s">
        <v>59</v>
      </c>
      <c r="W6" s="18"/>
      <c r="X6" s="18"/>
      <c r="Y6" s="7"/>
      <c r="Z6" s="19" t="n">
        <v>28509142106364</v>
      </c>
      <c r="AA6" s="20" t="n">
        <f aca="false">IFERROR(DATE(IF(LEFT(Z6,1)="2",1900,2000)+VALUE(MID(Z6,2,2)),VALUE(MID(Z6,4,2)),VALUE(MID(Z6,6,2))),"")</f>
        <v>31304</v>
      </c>
      <c r="AB6" s="15" t="str">
        <f aca="true">IF(AA6="","",DATEDIF(AA6,TODAY(),"y")&amp;"y "&amp;DATEDIF(AA6,TODAY(),"ym")&amp;"m")</f>
        <v>40y 3m</v>
      </c>
      <c r="AC6" s="14"/>
      <c r="AD6" s="14"/>
      <c r="AE6" s="7" t="s">
        <v>82</v>
      </c>
      <c r="AF6" s="7"/>
      <c r="AG6" s="7" t="s">
        <v>62</v>
      </c>
      <c r="AH6" s="7" t="s">
        <v>63</v>
      </c>
      <c r="AI6" s="21" t="s">
        <v>88</v>
      </c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5" t="str">
        <f aca="false">IF(COUNTIF(AJ6:AT6,"Yes")=COLUMNS(AJ6:AT6),"Yes","No")</f>
        <v>No</v>
      </c>
      <c r="AV6" s="21"/>
      <c r="AW6" s="14"/>
      <c r="AX6" s="14"/>
      <c r="AY6" s="21"/>
    </row>
    <row r="7" customFormat="false" ht="14.25" hidden="false" customHeight="false" outlineLevel="0" collapsed="false">
      <c r="A7" s="5" t="n">
        <f aca="false">ROW()-1</f>
        <v>6</v>
      </c>
      <c r="B7" s="6" t="n">
        <v>240009</v>
      </c>
      <c r="C7" s="7" t="s">
        <v>51</v>
      </c>
      <c r="D7" s="8" t="s">
        <v>89</v>
      </c>
      <c r="E7" s="9" t="s">
        <v>90</v>
      </c>
      <c r="F7" s="9" t="s">
        <v>91</v>
      </c>
      <c r="G7" s="8" t="s">
        <v>92</v>
      </c>
      <c r="H7" s="10"/>
      <c r="I7" s="11" t="str">
        <f aca="false">IFERROR(VLOOKUP(H7,'SI Codes'!$A:$B,2,FALSE()),"")</f>
        <v/>
      </c>
      <c r="J7" s="7" t="s">
        <v>93</v>
      </c>
      <c r="K7" s="12" t="str">
        <f aca="false">IFERROR(VLOOKUP(J7,Lists!$I$1:$J$21,2,FALSE()),"")</f>
        <v>HR and Admin</v>
      </c>
      <c r="L7" s="7" t="s">
        <v>56</v>
      </c>
      <c r="M7" s="7" t="s">
        <v>94</v>
      </c>
      <c r="N7" s="7" t="s">
        <v>59</v>
      </c>
      <c r="O7" s="7" t="s">
        <v>59</v>
      </c>
      <c r="P7" s="13"/>
      <c r="Q7" s="14" t="n">
        <v>45597</v>
      </c>
      <c r="R7" s="15" t="str">
        <f aca="true">IF(Q7="","",IF(C7="Resigned",IF(AX7="","",DATEDIF(Q7,AX7,"y")&amp;"y "&amp;DATEDIF(Q7,AX7,"ym")&amp;"m"),DATEDIF(Q7,TODAY(),"y")&amp;"y "&amp;DATEDIF(Q7,TODAY(),"ym")&amp;"m"))</f>
        <v>1y 2m</v>
      </c>
      <c r="S7" s="16" t="n">
        <v>1272836708</v>
      </c>
      <c r="T7" s="16" t="n">
        <v>1144192363</v>
      </c>
      <c r="U7" s="17" t="n">
        <v>71551980</v>
      </c>
      <c r="V7" s="7" t="s">
        <v>59</v>
      </c>
      <c r="W7" s="18"/>
      <c r="X7" s="18"/>
      <c r="Y7" s="7"/>
      <c r="Z7" s="19" t="n">
        <v>29503032100377</v>
      </c>
      <c r="AA7" s="20" t="n">
        <f aca="false">IFERROR(DATE(IF(LEFT(Z7,1)="2",1900,2000)+VALUE(MID(Z7,2,2)),VALUE(MID(Z7,4,2)),VALUE(MID(Z7,6,2))),"")</f>
        <v>34761</v>
      </c>
      <c r="AB7" s="15" t="str">
        <f aca="true">IF(AA7="","",DATEDIF(AA7,TODAY(),"y")&amp;"y "&amp;DATEDIF(AA7,TODAY(),"ym")&amp;"m")</f>
        <v>30y 9m</v>
      </c>
      <c r="AC7" s="14"/>
      <c r="AD7" s="14"/>
      <c r="AE7" s="7" t="s">
        <v>60</v>
      </c>
      <c r="AF7" s="7"/>
      <c r="AG7" s="7" t="s">
        <v>70</v>
      </c>
      <c r="AH7" s="7" t="s">
        <v>63</v>
      </c>
      <c r="AI7" s="21" t="s">
        <v>95</v>
      </c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5" t="str">
        <f aca="false">IF(COUNTIF(AJ7:AT7,"Yes")=COLUMNS(AJ7:AT7),"Yes","No")</f>
        <v>No</v>
      </c>
      <c r="AV7" s="21"/>
      <c r="AW7" s="14"/>
      <c r="AX7" s="14"/>
      <c r="AY7" s="21"/>
    </row>
    <row r="8" customFormat="false" ht="14.25" hidden="false" customHeight="false" outlineLevel="0" collapsed="false">
      <c r="A8" s="5" t="n">
        <f aca="false">ROW()-1</f>
        <v>7</v>
      </c>
      <c r="B8" s="6" t="n">
        <v>240010</v>
      </c>
      <c r="C8" s="7" t="s">
        <v>51</v>
      </c>
      <c r="D8" s="8" t="s">
        <v>96</v>
      </c>
      <c r="E8" s="9" t="s">
        <v>97</v>
      </c>
      <c r="F8" s="9" t="s">
        <v>98</v>
      </c>
      <c r="G8" s="8" t="s">
        <v>99</v>
      </c>
      <c r="H8" s="10"/>
      <c r="I8" s="11" t="str">
        <f aca="false">IFERROR(VLOOKUP(H8,'SI Codes'!$A:$B,2,FALSE()),"")</f>
        <v/>
      </c>
      <c r="J8" s="7" t="s">
        <v>100</v>
      </c>
      <c r="K8" s="12" t="str">
        <f aca="false">IFERROR(VLOOKUP(J8,Lists!$I$1:$J$21,2,FALSE()),"")</f>
        <v>HR and Admin</v>
      </c>
      <c r="L8" s="7" t="s">
        <v>56</v>
      </c>
      <c r="M8" s="7" t="s">
        <v>94</v>
      </c>
      <c r="N8" s="7" t="s">
        <v>59</v>
      </c>
      <c r="O8" s="7" t="s">
        <v>59</v>
      </c>
      <c r="P8" s="13"/>
      <c r="Q8" s="14" t="n">
        <v>45627</v>
      </c>
      <c r="R8" s="15" t="str">
        <f aca="true">IF(Q8="","",IF(C8="Resigned",IF(AX8="","",DATEDIF(Q8,AX8,"y")&amp;"y "&amp;DATEDIF(Q8,AX8,"ym")&amp;"m"),DATEDIF(Q8,TODAY(),"y")&amp;"y "&amp;DATEDIF(Q8,TODAY(),"ym")&amp;"m"))</f>
        <v>1y 1m</v>
      </c>
      <c r="S8" s="16" t="n">
        <v>1286744105</v>
      </c>
      <c r="T8" s="16"/>
      <c r="U8" s="17" t="n">
        <v>76595162</v>
      </c>
      <c r="V8" s="7" t="s">
        <v>59</v>
      </c>
      <c r="W8" s="18"/>
      <c r="X8" s="18"/>
      <c r="Y8" s="7"/>
      <c r="Z8" s="19" t="n">
        <v>28808222502627</v>
      </c>
      <c r="AA8" s="20" t="n">
        <f aca="false">IFERROR(DATE(IF(LEFT(Z8,1)="2",1900,2000)+VALUE(MID(Z8,2,2)),VALUE(MID(Z8,4,2)),VALUE(MID(Z8,6,2))),"")</f>
        <v>32377</v>
      </c>
      <c r="AB8" s="15" t="str">
        <f aca="true">IF(AA8="","",DATEDIF(AA8,TODAY(),"y")&amp;"y "&amp;DATEDIF(AA8,TODAY(),"ym")&amp;"m")</f>
        <v>37y 4m</v>
      </c>
      <c r="AC8" s="14"/>
      <c r="AD8" s="14"/>
      <c r="AE8" s="7" t="s">
        <v>82</v>
      </c>
      <c r="AF8" s="7"/>
      <c r="AG8" s="7" t="s">
        <v>62</v>
      </c>
      <c r="AH8" s="7" t="s">
        <v>101</v>
      </c>
      <c r="AI8" s="21" t="s">
        <v>102</v>
      </c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5" t="str">
        <f aca="false">IF(COUNTIF(AJ8:AT8,"Yes")=COLUMNS(AJ8:AT8),"Yes","No")</f>
        <v>No</v>
      </c>
      <c r="AV8" s="21"/>
      <c r="AW8" s="14"/>
      <c r="AX8" s="14"/>
      <c r="AY8" s="21"/>
    </row>
    <row r="9" customFormat="false" ht="14.25" hidden="false" customHeight="false" outlineLevel="0" collapsed="false">
      <c r="A9" s="5" t="n">
        <f aca="false">ROW()-1</f>
        <v>8</v>
      </c>
      <c r="B9" s="6" t="n">
        <v>240011</v>
      </c>
      <c r="C9" s="7" t="s">
        <v>51</v>
      </c>
      <c r="D9" s="8" t="s">
        <v>103</v>
      </c>
      <c r="E9" s="9" t="s">
        <v>104</v>
      </c>
      <c r="F9" s="9" t="s">
        <v>105</v>
      </c>
      <c r="G9" s="8" t="s">
        <v>106</v>
      </c>
      <c r="H9" s="10"/>
      <c r="I9" s="11" t="str">
        <f aca="false">IFERROR(VLOOKUP(H9,'SI Codes'!$A:$B,2,FALSE()),"")</f>
        <v/>
      </c>
      <c r="J9" s="7" t="s">
        <v>107</v>
      </c>
      <c r="K9" s="12" t="str">
        <f aca="false">IFERROR(VLOOKUP(J9,Lists!$I$1:$J$21,2,FALSE()),"")</f>
        <v>Operations</v>
      </c>
      <c r="L9" s="7" t="s">
        <v>56</v>
      </c>
      <c r="M9" s="7" t="s">
        <v>57</v>
      </c>
      <c r="N9" s="7" t="s">
        <v>58</v>
      </c>
      <c r="O9" s="7" t="s">
        <v>58</v>
      </c>
      <c r="P9" s="13"/>
      <c r="Q9" s="14" t="n">
        <v>45641</v>
      </c>
      <c r="R9" s="15" t="str">
        <f aca="true">IF(Q9="","",IF(C9="Resigned",IF(AX9="","",DATEDIF(Q9,AX9,"y")&amp;"y "&amp;DATEDIF(Q9,AX9,"ym")&amp;"m"),DATEDIF(Q9,TODAY(),"y")&amp;"y "&amp;DATEDIF(Q9,TODAY(),"ym")&amp;"m"))</f>
        <v>1y 0m</v>
      </c>
      <c r="S9" s="16" t="n">
        <v>1272832504</v>
      </c>
      <c r="T9" s="16" t="n">
        <v>1159888743</v>
      </c>
      <c r="U9" s="17" t="n">
        <v>55752679</v>
      </c>
      <c r="V9" s="7" t="s">
        <v>59</v>
      </c>
      <c r="W9" s="18"/>
      <c r="X9" s="18"/>
      <c r="Y9" s="7"/>
      <c r="Z9" s="19" t="n">
        <v>29011172201246</v>
      </c>
      <c r="AA9" s="20" t="n">
        <f aca="false">IFERROR(DATE(IF(LEFT(Z9,1)="2",1900,2000)+VALUE(MID(Z9,2,2)),VALUE(MID(Z9,4,2)),VALUE(MID(Z9,6,2))),"")</f>
        <v>33194</v>
      </c>
      <c r="AB9" s="15" t="str">
        <f aca="true">IF(AA9="","",DATEDIF(AA9,TODAY(),"y")&amp;"y "&amp;DATEDIF(AA9,TODAY(),"ym")&amp;"m")</f>
        <v>35y 1m</v>
      </c>
      <c r="AC9" s="14"/>
      <c r="AD9" s="14"/>
      <c r="AE9" s="7" t="s">
        <v>82</v>
      </c>
      <c r="AF9" s="7"/>
      <c r="AG9" s="7" t="s">
        <v>62</v>
      </c>
      <c r="AH9" s="7" t="s">
        <v>63</v>
      </c>
      <c r="AI9" s="21" t="s">
        <v>64</v>
      </c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5" t="str">
        <f aca="false">IF(COUNTIF(AJ9:AT9,"Yes")=COLUMNS(AJ9:AT9),"Yes","No")</f>
        <v>No</v>
      </c>
      <c r="AV9" s="21"/>
      <c r="AW9" s="14"/>
      <c r="AX9" s="14"/>
      <c r="AY9" s="21"/>
    </row>
    <row r="10" customFormat="false" ht="14.25" hidden="false" customHeight="false" outlineLevel="0" collapsed="false">
      <c r="A10" s="5" t="n">
        <f aca="false">ROW()-1</f>
        <v>9</v>
      </c>
      <c r="B10" s="6" t="n">
        <v>250012</v>
      </c>
      <c r="C10" s="7" t="s">
        <v>51</v>
      </c>
      <c r="D10" s="8" t="s">
        <v>108</v>
      </c>
      <c r="E10" s="9" t="s">
        <v>109</v>
      </c>
      <c r="F10" s="9" t="s">
        <v>110</v>
      </c>
      <c r="G10" s="8" t="s">
        <v>111</v>
      </c>
      <c r="H10" s="10"/>
      <c r="I10" s="11" t="str">
        <f aca="false">IFERROR(VLOOKUP(H10,'SI Codes'!$A:$B,2,FALSE()),"")</f>
        <v/>
      </c>
      <c r="J10" s="7" t="s">
        <v>112</v>
      </c>
      <c r="K10" s="12" t="str">
        <f aca="false">IFERROR(VLOOKUP(J10,Lists!$I$1:$J$21,2,FALSE()),"")</f>
        <v>Finance</v>
      </c>
      <c r="L10" s="7" t="s">
        <v>56</v>
      </c>
      <c r="M10" s="7" t="s">
        <v>57</v>
      </c>
      <c r="N10" s="7" t="s">
        <v>58</v>
      </c>
      <c r="O10" s="7" t="s">
        <v>58</v>
      </c>
      <c r="P10" s="13"/>
      <c r="Q10" s="14" t="n">
        <v>45658</v>
      </c>
      <c r="R10" s="15" t="str">
        <f aca="true">IF(Q10="","",IF(C10="Resigned",IF(AX10="","",DATEDIF(Q10,AX10,"y")&amp;"y "&amp;DATEDIF(Q10,AX10,"ym")&amp;"m"),DATEDIF(Q10,TODAY(),"y")&amp;"y "&amp;DATEDIF(Q10,TODAY(),"ym")&amp;"m"))</f>
        <v>1y 0m</v>
      </c>
      <c r="S10" s="16" t="n">
        <v>1272831470</v>
      </c>
      <c r="T10" s="16"/>
      <c r="U10" s="17" t="n">
        <v>85960001</v>
      </c>
      <c r="V10" s="7" t="s">
        <v>59</v>
      </c>
      <c r="W10" s="18"/>
      <c r="X10" s="18"/>
      <c r="Y10" s="7"/>
      <c r="Z10" s="19" t="n">
        <v>29804142602467</v>
      </c>
      <c r="AA10" s="20" t="n">
        <f aca="false">IFERROR(DATE(IF(LEFT(Z10,1)="2",1900,2000)+VALUE(MID(Z10,2,2)),VALUE(MID(Z10,4,2)),VALUE(MID(Z10,6,2))),"")</f>
        <v>35899</v>
      </c>
      <c r="AB10" s="15" t="str">
        <f aca="true">IF(AA10="","",DATEDIF(AA10,TODAY(),"y")&amp;"y "&amp;DATEDIF(AA10,TODAY(),"ym")&amp;"m")</f>
        <v>27y 8m</v>
      </c>
      <c r="AC10" s="14"/>
      <c r="AD10" s="14"/>
      <c r="AE10" s="7" t="s">
        <v>82</v>
      </c>
      <c r="AF10" s="7"/>
      <c r="AG10" s="7" t="s">
        <v>70</v>
      </c>
      <c r="AH10" s="7" t="s">
        <v>63</v>
      </c>
      <c r="AI10" s="21" t="s">
        <v>113</v>
      </c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15" t="str">
        <f aca="false">IF(COUNTIF(AJ10:AT10,"Yes")=COLUMNS(AJ10:AT10),"Yes","No")</f>
        <v>No</v>
      </c>
      <c r="AV10" s="21"/>
      <c r="AW10" s="14"/>
      <c r="AX10" s="14"/>
      <c r="AY10" s="21"/>
    </row>
    <row r="11" customFormat="false" ht="14.25" hidden="false" customHeight="false" outlineLevel="0" collapsed="false">
      <c r="A11" s="5" t="n">
        <f aca="false">ROW()-1</f>
        <v>10</v>
      </c>
      <c r="B11" s="6" t="n">
        <v>250013</v>
      </c>
      <c r="C11" s="7" t="s">
        <v>51</v>
      </c>
      <c r="D11" s="8" t="s">
        <v>114</v>
      </c>
      <c r="E11" s="9" t="s">
        <v>115</v>
      </c>
      <c r="F11" s="9" t="s">
        <v>116</v>
      </c>
      <c r="G11" s="8" t="s">
        <v>117</v>
      </c>
      <c r="H11" s="10"/>
      <c r="I11" s="11" t="str">
        <f aca="false">IFERROR(VLOOKUP(H11,'SI Codes'!$A:$B,2,FALSE()),"")</f>
        <v/>
      </c>
      <c r="J11" s="7" t="s">
        <v>118</v>
      </c>
      <c r="K11" s="12" t="str">
        <f aca="false">IFERROR(VLOOKUP(J11,Lists!$I$1:$J$21,2,FALSE()),"")</f>
        <v>Operations</v>
      </c>
      <c r="L11" s="7" t="s">
        <v>56</v>
      </c>
      <c r="M11" s="7" t="s">
        <v>94</v>
      </c>
      <c r="N11" s="7" t="s">
        <v>59</v>
      </c>
      <c r="O11" s="7" t="s">
        <v>59</v>
      </c>
      <c r="P11" s="13"/>
      <c r="Q11" s="14" t="n">
        <v>45689</v>
      </c>
      <c r="R11" s="15" t="str">
        <f aca="true">IF(Q11="","",IF(C11="Resigned",IF(AX11="","",DATEDIF(Q11,AX11,"y")&amp;"y "&amp;DATEDIF(Q11,AX11,"ym")&amp;"m"),DATEDIF(Q11,TODAY(),"y")&amp;"y "&amp;DATEDIF(Q11,TODAY(),"ym")&amp;"m"))</f>
        <v>0y 11m</v>
      </c>
      <c r="S11" s="16" t="n">
        <v>1281370295</v>
      </c>
      <c r="T11" s="16"/>
      <c r="U11" s="17" t="n">
        <v>81744149</v>
      </c>
      <c r="V11" s="7" t="s">
        <v>59</v>
      </c>
      <c r="W11" s="18"/>
      <c r="X11" s="18"/>
      <c r="Y11" s="7"/>
      <c r="Z11" s="19" t="n">
        <v>29911172200798</v>
      </c>
      <c r="AA11" s="20" t="n">
        <f aca="false">IFERROR(DATE(IF(LEFT(Z11,1)="2",1900,2000)+VALUE(MID(Z11,2,2)),VALUE(MID(Z11,4,2)),VALUE(MID(Z11,6,2))),"")</f>
        <v>36481</v>
      </c>
      <c r="AB11" s="15" t="str">
        <f aca="true">IF(AA11="","",DATEDIF(AA11,TODAY(),"y")&amp;"y "&amp;DATEDIF(AA11,TODAY(),"ym")&amp;"m")</f>
        <v>26y 1m</v>
      </c>
      <c r="AC11" s="14"/>
      <c r="AD11" s="14"/>
      <c r="AE11" s="7" t="s">
        <v>60</v>
      </c>
      <c r="AF11" s="7"/>
      <c r="AG11" s="7" t="s">
        <v>62</v>
      </c>
      <c r="AH11" s="7" t="s">
        <v>63</v>
      </c>
      <c r="AI11" s="21" t="s">
        <v>119</v>
      </c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15" t="str">
        <f aca="false">IF(COUNTIF(AJ11:AT11,"Yes")=COLUMNS(AJ11:AT11),"Yes","No")</f>
        <v>No</v>
      </c>
      <c r="AV11" s="21"/>
      <c r="AW11" s="14"/>
      <c r="AX11" s="14"/>
      <c r="AY11" s="21"/>
    </row>
    <row r="12" customFormat="false" ht="14.25" hidden="false" customHeight="false" outlineLevel="0" collapsed="false">
      <c r="A12" s="5" t="n">
        <f aca="false">ROW()-1</f>
        <v>11</v>
      </c>
      <c r="B12" s="6" t="n">
        <v>250014</v>
      </c>
      <c r="C12" s="7" t="s">
        <v>51</v>
      </c>
      <c r="D12" s="8" t="s">
        <v>120</v>
      </c>
      <c r="E12" s="9" t="s">
        <v>121</v>
      </c>
      <c r="F12" s="9" t="s">
        <v>122</v>
      </c>
      <c r="G12" s="8" t="s">
        <v>123</v>
      </c>
      <c r="H12" s="10"/>
      <c r="I12" s="11" t="str">
        <f aca="false">IFERROR(VLOOKUP(H12,'SI Codes'!$A:$B,2,FALSE()),"")</f>
        <v/>
      </c>
      <c r="J12" s="7" t="s">
        <v>124</v>
      </c>
      <c r="K12" s="12" t="str">
        <f aca="false">IFERROR(VLOOKUP(J12,Lists!$I$1:$J$21,2,FALSE()),"")</f>
        <v>Operations</v>
      </c>
      <c r="L12" s="7" t="s">
        <v>56</v>
      </c>
      <c r="M12" s="7" t="s">
        <v>94</v>
      </c>
      <c r="N12" s="7" t="s">
        <v>59</v>
      </c>
      <c r="O12" s="7" t="s">
        <v>59</v>
      </c>
      <c r="P12" s="13"/>
      <c r="Q12" s="14" t="n">
        <v>45762</v>
      </c>
      <c r="R12" s="15" t="str">
        <f aca="true">IF(Q12="","",IF(C12="Resigned",IF(AX12="","",DATEDIF(Q12,AX12,"y")&amp;"y "&amp;DATEDIF(Q12,AX12,"ym")&amp;"m"),DATEDIF(Q12,TODAY(),"y")&amp;"y "&amp;DATEDIF(Q12,TODAY(),"ym")&amp;"m"))</f>
        <v>0y 8m</v>
      </c>
      <c r="S12" s="16" t="n">
        <v>1117933811</v>
      </c>
      <c r="T12" s="16"/>
      <c r="U12" s="17" t="n">
        <v>86945841</v>
      </c>
      <c r="V12" s="7" t="s">
        <v>59</v>
      </c>
      <c r="W12" s="18"/>
      <c r="X12" s="18"/>
      <c r="Y12" s="7"/>
      <c r="Z12" s="19" t="n">
        <v>30607072103471</v>
      </c>
      <c r="AA12" s="20" t="n">
        <f aca="false">IFERROR(DATE(IF(LEFT(Z12,1)="2",1900,2000)+VALUE(MID(Z12,2,2)),VALUE(MID(Z12,4,2)),VALUE(MID(Z12,6,2))),"")</f>
        <v>38905</v>
      </c>
      <c r="AB12" s="15" t="str">
        <f aca="true">IF(AA12="","",DATEDIF(AA12,TODAY(),"y")&amp;"y "&amp;DATEDIF(AA12,TODAY(),"ym")&amp;"m")</f>
        <v>19y 5m</v>
      </c>
      <c r="AC12" s="14"/>
      <c r="AD12" s="14"/>
      <c r="AE12" s="7" t="s">
        <v>60</v>
      </c>
      <c r="AF12" s="7"/>
      <c r="AG12" s="7" t="s">
        <v>70</v>
      </c>
      <c r="AH12" s="7" t="s">
        <v>63</v>
      </c>
      <c r="AI12" s="21" t="s">
        <v>125</v>
      </c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5" t="str">
        <f aca="false">IF(COUNTIF(AJ12:AT12,"Yes")=COLUMNS(AJ12:AT12),"Yes","No")</f>
        <v>No</v>
      </c>
      <c r="AV12" s="21"/>
      <c r="AW12" s="14"/>
      <c r="AX12" s="14"/>
      <c r="AY12" s="21"/>
    </row>
    <row r="13" customFormat="false" ht="14.25" hidden="false" customHeight="false" outlineLevel="0" collapsed="false">
      <c r="A13" s="5" t="n">
        <f aca="false">ROW()-1</f>
        <v>12</v>
      </c>
      <c r="B13" s="6" t="n">
        <v>250015</v>
      </c>
      <c r="C13" s="7" t="s">
        <v>51</v>
      </c>
      <c r="D13" s="8" t="s">
        <v>126</v>
      </c>
      <c r="E13" s="9" t="s">
        <v>127</v>
      </c>
      <c r="F13" s="9" t="s">
        <v>128</v>
      </c>
      <c r="G13" s="8" t="s">
        <v>129</v>
      </c>
      <c r="H13" s="10"/>
      <c r="I13" s="11" t="str">
        <f aca="false">IFERROR(VLOOKUP(H13,'SI Codes'!$A:$B,2,FALSE()),"")</f>
        <v/>
      </c>
      <c r="J13" s="7" t="s">
        <v>130</v>
      </c>
      <c r="K13" s="12" t="str">
        <f aca="false">IFERROR(VLOOKUP(J13,Lists!$I$1:$J$21,2,FALSE()),"")</f>
        <v>Operations</v>
      </c>
      <c r="L13" s="7" t="s">
        <v>56</v>
      </c>
      <c r="M13" s="7" t="s">
        <v>57</v>
      </c>
      <c r="N13" s="7" t="s">
        <v>58</v>
      </c>
      <c r="O13" s="7" t="s">
        <v>58</v>
      </c>
      <c r="P13" s="13"/>
      <c r="Q13" s="14" t="n">
        <v>45775</v>
      </c>
      <c r="R13" s="15" t="str">
        <f aca="true">IF(Q13="","",IF(C13="Resigned",IF(AX13="","",DATEDIF(Q13,AX13,"y")&amp;"y "&amp;DATEDIF(Q13,AX13,"ym")&amp;"m"),DATEDIF(Q13,TODAY(),"y")&amp;"y "&amp;DATEDIF(Q13,TODAY(),"ym")&amp;"m"))</f>
        <v>0y 8m</v>
      </c>
      <c r="S13" s="16" t="n">
        <v>1119470848</v>
      </c>
      <c r="T13" s="16" t="n">
        <v>1272841451</v>
      </c>
      <c r="U13" s="17" t="n">
        <v>87066305</v>
      </c>
      <c r="V13" s="7" t="s">
        <v>59</v>
      </c>
      <c r="W13" s="18"/>
      <c r="X13" s="18"/>
      <c r="Y13" s="7"/>
      <c r="Z13" s="19" t="n">
        <v>30512031302698</v>
      </c>
      <c r="AA13" s="20" t="n">
        <f aca="false">IFERROR(DATE(IF(LEFT(Z13,1)="2",1900,2000)+VALUE(MID(Z13,2,2)),VALUE(MID(Z13,4,2)),VALUE(MID(Z13,6,2))),"")</f>
        <v>38689</v>
      </c>
      <c r="AB13" s="15" t="str">
        <f aca="true">IF(AA13="","",DATEDIF(AA13,TODAY(),"y")&amp;"y "&amp;DATEDIF(AA13,TODAY(),"ym")&amp;"m")</f>
        <v>20y 0m</v>
      </c>
      <c r="AC13" s="14"/>
      <c r="AD13" s="14"/>
      <c r="AE13" s="7" t="s">
        <v>60</v>
      </c>
      <c r="AF13" s="7"/>
      <c r="AG13" s="7" t="s">
        <v>70</v>
      </c>
      <c r="AH13" s="7" t="s">
        <v>63</v>
      </c>
      <c r="AI13" s="21" t="s">
        <v>131</v>
      </c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5" t="str">
        <f aca="false">IF(COUNTIF(AJ13:AT13,"Yes")=COLUMNS(AJ13:AT13),"Yes","No")</f>
        <v>No</v>
      </c>
      <c r="AV13" s="21"/>
      <c r="AW13" s="14"/>
      <c r="AX13" s="14"/>
      <c r="AY13" s="21"/>
    </row>
    <row r="14" customFormat="false" ht="14.25" hidden="false" customHeight="false" outlineLevel="0" collapsed="false">
      <c r="A14" s="5" t="n">
        <f aca="false">ROW()-1</f>
        <v>13</v>
      </c>
      <c r="B14" s="6" t="n">
        <v>250016</v>
      </c>
      <c r="C14" s="7" t="s">
        <v>51</v>
      </c>
      <c r="D14" s="8" t="s">
        <v>132</v>
      </c>
      <c r="E14" s="9" t="s">
        <v>133</v>
      </c>
      <c r="F14" s="9" t="s">
        <v>134</v>
      </c>
      <c r="G14" s="8" t="s">
        <v>123</v>
      </c>
      <c r="H14" s="10"/>
      <c r="I14" s="11" t="str">
        <f aca="false">IFERROR(VLOOKUP(H14,'SI Codes'!$A:$B,2,FALSE()),"")</f>
        <v/>
      </c>
      <c r="J14" s="7" t="s">
        <v>124</v>
      </c>
      <c r="K14" s="12" t="str">
        <f aca="false">IFERROR(VLOOKUP(J14,Lists!$I$1:$J$21,2,FALSE()),"")</f>
        <v>Operations</v>
      </c>
      <c r="L14" s="7" t="s">
        <v>56</v>
      </c>
      <c r="M14" s="7" t="s">
        <v>94</v>
      </c>
      <c r="N14" s="7" t="s">
        <v>59</v>
      </c>
      <c r="O14" s="7" t="s">
        <v>59</v>
      </c>
      <c r="P14" s="13"/>
      <c r="Q14" s="14" t="n">
        <v>45795</v>
      </c>
      <c r="R14" s="15" t="str">
        <f aca="true">IF(Q14="","",IF(C14="Resigned",IF(AX14="","",DATEDIF(Q14,AX14,"y")&amp;"y "&amp;DATEDIF(Q14,AX14,"ym")&amp;"m"),DATEDIF(Q14,TODAY(),"y")&amp;"y "&amp;DATEDIF(Q14,TODAY(),"ym")&amp;"m"))</f>
        <v>0y 7m</v>
      </c>
      <c r="S14" s="16" t="n">
        <v>1116410302</v>
      </c>
      <c r="T14" s="16" t="n">
        <v>1127682219</v>
      </c>
      <c r="U14" s="17" t="n">
        <v>68792755</v>
      </c>
      <c r="V14" s="7" t="s">
        <v>59</v>
      </c>
      <c r="W14" s="18"/>
      <c r="X14" s="18"/>
      <c r="Y14" s="7"/>
      <c r="Z14" s="19" t="n">
        <v>29105302100298</v>
      </c>
      <c r="AA14" s="20" t="n">
        <f aca="false">IFERROR(DATE(IF(LEFT(Z14,1)="2",1900,2000)+VALUE(MID(Z14,2,2)),VALUE(MID(Z14,4,2)),VALUE(MID(Z14,6,2))),"")</f>
        <v>33388</v>
      </c>
      <c r="AB14" s="15" t="str">
        <f aca="true">IF(AA14="","",DATEDIF(AA14,TODAY(),"y")&amp;"y "&amp;DATEDIF(AA14,TODAY(),"ym")&amp;"m")</f>
        <v>34y 7m</v>
      </c>
      <c r="AC14" s="14"/>
      <c r="AD14" s="14"/>
      <c r="AE14" s="7" t="s">
        <v>60</v>
      </c>
      <c r="AF14" s="7"/>
      <c r="AG14" s="7" t="s">
        <v>62</v>
      </c>
      <c r="AH14" s="7" t="s">
        <v>63</v>
      </c>
      <c r="AI14" s="21" t="s">
        <v>135</v>
      </c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15" t="str">
        <f aca="false">IF(COUNTIF(AJ14:AT14,"Yes")=COLUMNS(AJ14:AT14),"Yes","No")</f>
        <v>No</v>
      </c>
      <c r="AV14" s="21"/>
      <c r="AW14" s="14"/>
      <c r="AX14" s="14"/>
      <c r="AY14" s="21"/>
    </row>
    <row r="15" customFormat="false" ht="14.25" hidden="false" customHeight="false" outlineLevel="0" collapsed="false">
      <c r="A15" s="5" t="n">
        <f aca="false">ROW()-1</f>
        <v>14</v>
      </c>
      <c r="B15" s="6" t="n">
        <v>250017</v>
      </c>
      <c r="C15" s="7" t="s">
        <v>51</v>
      </c>
      <c r="D15" s="8" t="s">
        <v>136</v>
      </c>
      <c r="E15" s="9" t="s">
        <v>137</v>
      </c>
      <c r="F15" s="9" t="s">
        <v>138</v>
      </c>
      <c r="G15" s="8" t="s">
        <v>99</v>
      </c>
      <c r="H15" s="10"/>
      <c r="I15" s="11" t="str">
        <f aca="false">IFERROR(VLOOKUP(H15,'SI Codes'!$A:$B,2,FALSE()),"")</f>
        <v/>
      </c>
      <c r="J15" s="7" t="s">
        <v>100</v>
      </c>
      <c r="K15" s="12" t="str">
        <f aca="false">IFERROR(VLOOKUP(J15,Lists!$I$1:$J$21,2,FALSE()),"")</f>
        <v>HR and Admin</v>
      </c>
      <c r="L15" s="7" t="s">
        <v>56</v>
      </c>
      <c r="M15" s="7" t="s">
        <v>94</v>
      </c>
      <c r="N15" s="7" t="s">
        <v>59</v>
      </c>
      <c r="O15" s="7" t="s">
        <v>59</v>
      </c>
      <c r="P15" s="13"/>
      <c r="Q15" s="14" t="n">
        <v>45788</v>
      </c>
      <c r="R15" s="15" t="str">
        <f aca="true">IF(Q15="","",IF(C15="Resigned",IF(AX15="","",DATEDIF(Q15,AX15,"y")&amp;"y "&amp;DATEDIF(Q15,AX15,"ym")&amp;"m"),DATEDIF(Q15,TODAY(),"y")&amp;"y "&amp;DATEDIF(Q15,TODAY(),"ym")&amp;"m"))</f>
        <v>0y 7m</v>
      </c>
      <c r="S15" s="16" t="n">
        <v>1123898859</v>
      </c>
      <c r="T15" s="16"/>
      <c r="U15" s="17" t="n">
        <v>43630698</v>
      </c>
      <c r="V15" s="7" t="s">
        <v>59</v>
      </c>
      <c r="W15" s="18"/>
      <c r="X15" s="18"/>
      <c r="Y15" s="7"/>
      <c r="Z15" s="19" t="n">
        <v>29011080103957</v>
      </c>
      <c r="AA15" s="20" t="n">
        <f aca="false">IFERROR(DATE(IF(LEFT(Z15,1)="2",1900,2000)+VALUE(MID(Z15,2,2)),VALUE(MID(Z15,4,2)),VALUE(MID(Z15,6,2))),"")</f>
        <v>33185</v>
      </c>
      <c r="AB15" s="15" t="str">
        <f aca="true">IF(AA15="","",DATEDIF(AA15,TODAY(),"y")&amp;"y "&amp;DATEDIF(AA15,TODAY(),"ym")&amp;"m")</f>
        <v>35y 1m</v>
      </c>
      <c r="AC15" s="14"/>
      <c r="AD15" s="14"/>
      <c r="AE15" s="7" t="s">
        <v>60</v>
      </c>
      <c r="AF15" s="7"/>
      <c r="AG15" s="7" t="s">
        <v>70</v>
      </c>
      <c r="AH15" s="7" t="s">
        <v>63</v>
      </c>
      <c r="AI15" s="21" t="s">
        <v>102</v>
      </c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15" t="str">
        <f aca="false">IF(COUNTIF(AJ15:AT15,"Yes")=COLUMNS(AJ15:AT15),"Yes","No")</f>
        <v>No</v>
      </c>
      <c r="AV15" s="21"/>
      <c r="AW15" s="14"/>
      <c r="AX15" s="14"/>
      <c r="AY15" s="21"/>
    </row>
    <row r="16" customFormat="false" ht="14.25" hidden="false" customHeight="false" outlineLevel="0" collapsed="false">
      <c r="A16" s="5" t="n">
        <f aca="false">ROW()-1</f>
        <v>15</v>
      </c>
      <c r="B16" s="6" t="n">
        <v>250018</v>
      </c>
      <c r="C16" s="7" t="s">
        <v>51</v>
      </c>
      <c r="D16" s="8" t="s">
        <v>139</v>
      </c>
      <c r="E16" s="9" t="s">
        <v>140</v>
      </c>
      <c r="F16" s="9" t="s">
        <v>141</v>
      </c>
      <c r="G16" s="8" t="s">
        <v>142</v>
      </c>
      <c r="H16" s="10"/>
      <c r="I16" s="11" t="str">
        <f aca="false">IFERROR(VLOOKUP(H16,'SI Codes'!$A:$B,2,FALSE()),"")</f>
        <v/>
      </c>
      <c r="J16" s="7" t="s">
        <v>143</v>
      </c>
      <c r="K16" s="12" t="str">
        <f aca="false">IFERROR(VLOOKUP(J16,Lists!$I$1:$J$21,2,FALSE()),"")</f>
        <v>Supply Chain</v>
      </c>
      <c r="L16" s="7" t="s">
        <v>56</v>
      </c>
      <c r="M16" s="7" t="s">
        <v>57</v>
      </c>
      <c r="N16" s="7" t="s">
        <v>58</v>
      </c>
      <c r="O16" s="7" t="s">
        <v>58</v>
      </c>
      <c r="P16" s="13"/>
      <c r="Q16" s="14" t="n">
        <v>45796</v>
      </c>
      <c r="R16" s="15" t="str">
        <f aca="true">IF(Q16="","",IF(C16="Resigned",IF(AX16="","",DATEDIF(Q16,AX16,"y")&amp;"y "&amp;DATEDIF(Q16,AX16,"ym")&amp;"m"),DATEDIF(Q16,TODAY(),"y")&amp;"y "&amp;DATEDIF(Q16,TODAY(),"ym")&amp;"m"))</f>
        <v>0y 7m</v>
      </c>
      <c r="S16" s="16" t="n">
        <v>1121235909</v>
      </c>
      <c r="T16" s="16"/>
      <c r="U16" s="17" t="n">
        <v>86813304</v>
      </c>
      <c r="V16" s="7" t="s">
        <v>59</v>
      </c>
      <c r="W16" s="18"/>
      <c r="X16" s="18"/>
      <c r="Y16" s="7"/>
      <c r="Z16" s="19" t="n">
        <v>29806032800738</v>
      </c>
      <c r="AA16" s="20" t="n">
        <f aca="false">IFERROR(DATE(IF(LEFT(Z16,1)="2",1900,2000)+VALUE(MID(Z16,2,2)),VALUE(MID(Z16,4,2)),VALUE(MID(Z16,6,2))),"")</f>
        <v>35949</v>
      </c>
      <c r="AB16" s="15" t="str">
        <f aca="true">IF(AA16="","",DATEDIF(AA16,TODAY(),"y")&amp;"y "&amp;DATEDIF(AA16,TODAY(),"ym")&amp;"m")</f>
        <v>27y 6m</v>
      </c>
      <c r="AC16" s="14"/>
      <c r="AD16" s="14"/>
      <c r="AE16" s="7" t="s">
        <v>60</v>
      </c>
      <c r="AF16" s="7"/>
      <c r="AG16" s="7" t="s">
        <v>70</v>
      </c>
      <c r="AH16" s="7" t="s">
        <v>63</v>
      </c>
      <c r="AI16" s="21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15" t="str">
        <f aca="false">IF(COUNTIF(AJ16:AT16,"Yes")=COLUMNS(AJ16:AT16),"Yes","No")</f>
        <v>No</v>
      </c>
      <c r="AV16" s="21"/>
      <c r="AW16" s="14"/>
      <c r="AX16" s="14"/>
      <c r="AY16" s="21"/>
    </row>
    <row r="17" customFormat="false" ht="14.25" hidden="false" customHeight="false" outlineLevel="0" collapsed="false">
      <c r="A17" s="5" t="n">
        <f aca="false">ROW()-1</f>
        <v>16</v>
      </c>
      <c r="B17" s="6"/>
      <c r="C17" s="7"/>
      <c r="D17" s="8"/>
      <c r="E17" s="8"/>
      <c r="F17" s="8"/>
      <c r="G17" s="8"/>
      <c r="H17" s="10"/>
      <c r="I17" s="11" t="str">
        <f aca="false">IFERROR(VLOOKUP(H17,'SI Codes'!$A:$B,2,FALSE()),"")</f>
        <v/>
      </c>
      <c r="J17" s="7"/>
      <c r="K17" s="12" t="str">
        <f aca="false">IFERROR(VLOOKUP(J17,Lists!$I$1:$J$21,2,FALSE()),"")</f>
        <v/>
      </c>
      <c r="L17" s="7"/>
      <c r="M17" s="7"/>
      <c r="N17" s="7"/>
      <c r="O17" s="7"/>
      <c r="P17" s="13"/>
      <c r="Q17" s="14"/>
      <c r="R17" s="15" t="str">
        <f aca="true">IF(Q17="","",IF(C17="Resigned",IF(AX17="","",DATEDIF(Q17,AX17,"y")&amp;"y "&amp;DATEDIF(Q17,AX17,"ym")&amp;"m"),DATEDIF(Q17,TODAY(),"y")&amp;"y "&amp;DATEDIF(Q17,TODAY(),"ym")&amp;"m"))</f>
        <v/>
      </c>
      <c r="S17" s="16"/>
      <c r="T17" s="16"/>
      <c r="U17" s="17"/>
      <c r="V17" s="7"/>
      <c r="W17" s="18"/>
      <c r="X17" s="18"/>
      <c r="Y17" s="7"/>
      <c r="Z17" s="19"/>
      <c r="AA17" s="20" t="str">
        <f aca="false">IFERROR(DATE(IF(LEFT(Z17,1)="2",1900,2000)+VALUE(MID(Z17,2,2)),VALUE(MID(Z17,4,2)),VALUE(MID(Z17,6,2))),"")</f>
        <v/>
      </c>
      <c r="AB17" s="15" t="str">
        <f aca="true">IF(AA17="","",DATEDIF(AA17,TODAY(),"y")&amp;"y "&amp;DATEDIF(AA17,TODAY(),"ym")&amp;"m")</f>
        <v/>
      </c>
      <c r="AC17" s="14"/>
      <c r="AD17" s="14"/>
      <c r="AE17" s="7"/>
      <c r="AF17" s="7"/>
      <c r="AG17" s="7"/>
      <c r="AH17" s="7"/>
      <c r="AI17" s="21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15" t="str">
        <f aca="false">IF(COUNTIF(AJ17:AT17,"Yes")=COLUMNS(AJ17:AT17),"Yes","No")</f>
        <v>No</v>
      </c>
      <c r="AV17" s="21"/>
      <c r="AW17" s="14"/>
      <c r="AX17" s="14"/>
      <c r="AY17" s="21"/>
    </row>
    <row r="18" customFormat="false" ht="14.25" hidden="false" customHeight="false" outlineLevel="0" collapsed="false">
      <c r="A18" s="5" t="n">
        <f aca="false">ROW()-1</f>
        <v>17</v>
      </c>
      <c r="B18" s="6"/>
      <c r="C18" s="7"/>
      <c r="D18" s="8"/>
      <c r="E18" s="8"/>
      <c r="F18" s="8"/>
      <c r="G18" s="8"/>
      <c r="H18" s="10"/>
      <c r="I18" s="11" t="str">
        <f aca="false">IFERROR(VLOOKUP(H18,'SI Codes'!$A:$B,2,FALSE()),"")</f>
        <v/>
      </c>
      <c r="J18" s="7"/>
      <c r="K18" s="12" t="str">
        <f aca="false">IFERROR(VLOOKUP(J18,Lists!$I$1:$J$21,2,FALSE()),"")</f>
        <v/>
      </c>
      <c r="L18" s="7"/>
      <c r="M18" s="7"/>
      <c r="N18" s="7"/>
      <c r="O18" s="7"/>
      <c r="P18" s="13"/>
      <c r="Q18" s="14"/>
      <c r="R18" s="15" t="str">
        <f aca="true">IF(Q18="","",IF(C18="Resigned",IF(AX18="","",DATEDIF(Q18,AX18,"y")&amp;"y "&amp;DATEDIF(Q18,AX18,"ym")&amp;"m"),DATEDIF(Q18,TODAY(),"y")&amp;"y "&amp;DATEDIF(Q18,TODAY(),"ym")&amp;"m"))</f>
        <v/>
      </c>
      <c r="S18" s="16"/>
      <c r="T18" s="16"/>
      <c r="U18" s="17"/>
      <c r="V18" s="7"/>
      <c r="W18" s="18"/>
      <c r="X18" s="18"/>
      <c r="Y18" s="7"/>
      <c r="Z18" s="19"/>
      <c r="AA18" s="20" t="str">
        <f aca="false">IFERROR(DATE(IF(LEFT(Z18,1)="2",1900,2000)+VALUE(MID(Z18,2,2)),VALUE(MID(Z18,4,2)),VALUE(MID(Z18,6,2))),"")</f>
        <v/>
      </c>
      <c r="AB18" s="15" t="str">
        <f aca="true">IF(AA18="","",DATEDIF(AA18,TODAY(),"y")&amp;"y "&amp;DATEDIF(AA18,TODAY(),"ym")&amp;"m")</f>
        <v/>
      </c>
      <c r="AC18" s="14"/>
      <c r="AD18" s="14"/>
      <c r="AE18" s="7"/>
      <c r="AF18" s="7"/>
      <c r="AG18" s="7"/>
      <c r="AH18" s="7"/>
      <c r="AI18" s="21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15" t="str">
        <f aca="false">IF(COUNTIF(AJ18:AT18,"Yes")=COLUMNS(AJ18:AT18),"Yes","No")</f>
        <v>No</v>
      </c>
      <c r="AV18" s="21"/>
      <c r="AW18" s="14"/>
      <c r="AX18" s="14"/>
      <c r="AY18" s="21"/>
    </row>
    <row r="19" customFormat="false" ht="14.25" hidden="false" customHeight="false" outlineLevel="0" collapsed="false">
      <c r="A19" s="5" t="n">
        <f aca="false">ROW()-1</f>
        <v>18</v>
      </c>
      <c r="B19" s="6"/>
      <c r="C19" s="7"/>
      <c r="D19" s="8"/>
      <c r="E19" s="8"/>
      <c r="F19" s="8"/>
      <c r="G19" s="8"/>
      <c r="H19" s="10"/>
      <c r="I19" s="11" t="str">
        <f aca="false">IFERROR(VLOOKUP(H19,'SI Codes'!$A:$B,2,FALSE()),"")</f>
        <v/>
      </c>
      <c r="J19" s="7"/>
      <c r="K19" s="12" t="str">
        <f aca="false">IFERROR(VLOOKUP(J19,Lists!$I$1:$J$21,2,FALSE()),"")</f>
        <v/>
      </c>
      <c r="L19" s="7"/>
      <c r="M19" s="7"/>
      <c r="N19" s="7"/>
      <c r="O19" s="7"/>
      <c r="P19" s="13"/>
      <c r="Q19" s="14"/>
      <c r="R19" s="15" t="str">
        <f aca="true">IF(Q19="","",IF(C19="Resigned",IF(AX19="","",DATEDIF(Q19,AX19,"y")&amp;"y "&amp;DATEDIF(Q19,AX19,"ym")&amp;"m"),DATEDIF(Q19,TODAY(),"y")&amp;"y "&amp;DATEDIF(Q19,TODAY(),"ym")&amp;"m"))</f>
        <v/>
      </c>
      <c r="S19" s="16"/>
      <c r="T19" s="16"/>
      <c r="U19" s="17"/>
      <c r="V19" s="7"/>
      <c r="W19" s="18"/>
      <c r="X19" s="18"/>
      <c r="Y19" s="7"/>
      <c r="Z19" s="19"/>
      <c r="AA19" s="20" t="str">
        <f aca="false">IFERROR(DATE(IF(LEFT(Z19,1)="2",1900,2000)+VALUE(MID(Z19,2,2)),VALUE(MID(Z19,4,2)),VALUE(MID(Z19,6,2))),"")</f>
        <v/>
      </c>
      <c r="AB19" s="15" t="str">
        <f aca="true">IF(AA19="","",DATEDIF(AA19,TODAY(),"y")&amp;"y "&amp;DATEDIF(AA19,TODAY(),"ym")&amp;"m")</f>
        <v/>
      </c>
      <c r="AC19" s="14"/>
      <c r="AD19" s="14"/>
      <c r="AE19" s="7"/>
      <c r="AF19" s="7"/>
      <c r="AG19" s="7"/>
      <c r="AH19" s="7"/>
      <c r="AI19" s="21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15" t="str">
        <f aca="false">IF(COUNTIF(AJ19:AT19,"Yes")=COLUMNS(AJ19:AT19),"Yes","No")</f>
        <v>No</v>
      </c>
      <c r="AV19" s="21"/>
      <c r="AW19" s="14"/>
      <c r="AX19" s="14"/>
      <c r="AY19" s="21"/>
    </row>
    <row r="20" customFormat="false" ht="14.25" hidden="false" customHeight="false" outlineLevel="0" collapsed="false">
      <c r="A20" s="5" t="n">
        <f aca="false">ROW()-1</f>
        <v>19</v>
      </c>
      <c r="B20" s="6"/>
      <c r="C20" s="7"/>
      <c r="D20" s="8"/>
      <c r="E20" s="8"/>
      <c r="F20" s="8"/>
      <c r="G20" s="8"/>
      <c r="H20" s="10"/>
      <c r="I20" s="11" t="str">
        <f aca="false">IFERROR(VLOOKUP(H20,'SI Codes'!$A:$B,2,FALSE()),"")</f>
        <v/>
      </c>
      <c r="J20" s="7"/>
      <c r="K20" s="12" t="str">
        <f aca="false">IFERROR(VLOOKUP(J20,Lists!$I$1:$J$21,2,FALSE()),"")</f>
        <v/>
      </c>
      <c r="L20" s="7"/>
      <c r="M20" s="7"/>
      <c r="N20" s="7"/>
      <c r="O20" s="7"/>
      <c r="P20" s="13"/>
      <c r="Q20" s="14"/>
      <c r="R20" s="15" t="str">
        <f aca="true">IF(Q20="","",IF(C20="Resigned",IF(AX20="","",DATEDIF(Q20,AX20,"y")&amp;"y "&amp;DATEDIF(Q20,AX20,"ym")&amp;"m"),DATEDIF(Q20,TODAY(),"y")&amp;"y "&amp;DATEDIF(Q20,TODAY(),"ym")&amp;"m"))</f>
        <v/>
      </c>
      <c r="S20" s="16"/>
      <c r="T20" s="16"/>
      <c r="U20" s="17"/>
      <c r="V20" s="7"/>
      <c r="W20" s="18"/>
      <c r="X20" s="18"/>
      <c r="Y20" s="7"/>
      <c r="Z20" s="19"/>
      <c r="AA20" s="20" t="str">
        <f aca="false">IFERROR(DATE(IF(LEFT(Z20,1)="2",1900,2000)+VALUE(MID(Z20,2,2)),VALUE(MID(Z20,4,2)),VALUE(MID(Z20,6,2))),"")</f>
        <v/>
      </c>
      <c r="AB20" s="15" t="str">
        <f aca="true">IF(AA20="","",DATEDIF(AA20,TODAY(),"y")&amp;"y "&amp;DATEDIF(AA20,TODAY(),"ym")&amp;"m")</f>
        <v/>
      </c>
      <c r="AC20" s="14"/>
      <c r="AD20" s="14"/>
      <c r="AE20" s="7"/>
      <c r="AF20" s="7"/>
      <c r="AG20" s="7"/>
      <c r="AH20" s="7"/>
      <c r="AI20" s="21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5" t="str">
        <f aca="false">IF(COUNTIF(AJ20:AT20,"Yes")=COLUMNS(AJ20:AT20),"Yes","No")</f>
        <v>No</v>
      </c>
      <c r="AV20" s="21"/>
      <c r="AW20" s="14"/>
      <c r="AX20" s="14"/>
      <c r="AY20" s="21"/>
    </row>
    <row r="21" customFormat="false" ht="14.25" hidden="false" customHeight="false" outlineLevel="0" collapsed="false">
      <c r="A21" s="5" t="n">
        <f aca="false">ROW()-1</f>
        <v>20</v>
      </c>
      <c r="B21" s="6"/>
      <c r="C21" s="7"/>
      <c r="D21" s="8"/>
      <c r="E21" s="8"/>
      <c r="F21" s="8"/>
      <c r="G21" s="8"/>
      <c r="H21" s="10"/>
      <c r="I21" s="11" t="str">
        <f aca="false">IFERROR(VLOOKUP(H21,'SI Codes'!$A:$B,2,FALSE()),"")</f>
        <v/>
      </c>
      <c r="J21" s="7"/>
      <c r="K21" s="12" t="str">
        <f aca="false">IFERROR(VLOOKUP(J21,Lists!$I$1:$J$21,2,FALSE()),"")</f>
        <v/>
      </c>
      <c r="L21" s="7"/>
      <c r="M21" s="7"/>
      <c r="N21" s="7"/>
      <c r="O21" s="7"/>
      <c r="P21" s="13"/>
      <c r="Q21" s="14"/>
      <c r="R21" s="15" t="str">
        <f aca="true">IF(Q21="","",IF(C21="Resigned",IF(AX21="","",DATEDIF(Q21,AX21,"y")&amp;"y "&amp;DATEDIF(Q21,AX21,"ym")&amp;"m"),DATEDIF(Q21,TODAY(),"y")&amp;"y "&amp;DATEDIF(Q21,TODAY(),"ym")&amp;"m"))</f>
        <v/>
      </c>
      <c r="S21" s="16"/>
      <c r="T21" s="16"/>
      <c r="U21" s="17"/>
      <c r="V21" s="7"/>
      <c r="W21" s="18"/>
      <c r="X21" s="18"/>
      <c r="Y21" s="7"/>
      <c r="Z21" s="19"/>
      <c r="AA21" s="20" t="str">
        <f aca="false">IFERROR(DATE(IF(LEFT(Z21,1)="2",1900,2000)+VALUE(MID(Z21,2,2)),VALUE(MID(Z21,4,2)),VALUE(MID(Z21,6,2))),"")</f>
        <v/>
      </c>
      <c r="AB21" s="15" t="str">
        <f aca="true">IF(AA21="","",DATEDIF(AA21,TODAY(),"y")&amp;"y "&amp;DATEDIF(AA21,TODAY(),"ym")&amp;"m")</f>
        <v/>
      </c>
      <c r="AC21" s="14"/>
      <c r="AD21" s="14"/>
      <c r="AE21" s="7"/>
      <c r="AF21" s="7"/>
      <c r="AG21" s="7"/>
      <c r="AH21" s="7"/>
      <c r="AI21" s="21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15" t="str">
        <f aca="false">IF(COUNTIF(AJ21:AT21,"Yes")=COLUMNS(AJ21:AT21),"Yes","No")</f>
        <v>No</v>
      </c>
      <c r="AV21" s="21"/>
      <c r="AW21" s="14"/>
      <c r="AX21" s="14"/>
      <c r="AY21" s="21"/>
    </row>
    <row r="22" customFormat="false" ht="14.25" hidden="false" customHeight="false" outlineLevel="0" collapsed="false">
      <c r="A22" s="5" t="n">
        <f aca="false">ROW()-1</f>
        <v>21</v>
      </c>
      <c r="B22" s="6"/>
      <c r="C22" s="7"/>
      <c r="D22" s="8"/>
      <c r="E22" s="8"/>
      <c r="F22" s="8"/>
      <c r="G22" s="8"/>
      <c r="H22" s="10"/>
      <c r="I22" s="11" t="str">
        <f aca="false">IFERROR(VLOOKUP(H22,'SI Codes'!$A:$B,2,FALSE()),"")</f>
        <v/>
      </c>
      <c r="J22" s="7"/>
      <c r="K22" s="12" t="str">
        <f aca="false">IFERROR(VLOOKUP(J22,Lists!$I$1:$J$21,2,FALSE()),"")</f>
        <v/>
      </c>
      <c r="L22" s="7"/>
      <c r="M22" s="7"/>
      <c r="N22" s="7"/>
      <c r="O22" s="7"/>
      <c r="P22" s="13"/>
      <c r="Q22" s="14"/>
      <c r="R22" s="15" t="str">
        <f aca="true">IF(Q22="","",IF(C22="Resigned",IF(AX22="","",DATEDIF(Q22,AX22,"y")&amp;"y "&amp;DATEDIF(Q22,AX22,"ym")&amp;"m"),DATEDIF(Q22,TODAY(),"y")&amp;"y "&amp;DATEDIF(Q22,TODAY(),"ym")&amp;"m"))</f>
        <v/>
      </c>
      <c r="S22" s="16"/>
      <c r="T22" s="16"/>
      <c r="U22" s="17"/>
      <c r="V22" s="7"/>
      <c r="W22" s="18"/>
      <c r="X22" s="18"/>
      <c r="Y22" s="7"/>
      <c r="Z22" s="19"/>
      <c r="AA22" s="20" t="str">
        <f aca="false">IFERROR(DATE(IF(LEFT(Z22,1)="2",1900,2000)+VALUE(MID(Z22,2,2)),VALUE(MID(Z22,4,2)),VALUE(MID(Z22,6,2))),"")</f>
        <v/>
      </c>
      <c r="AB22" s="15" t="str">
        <f aca="true">IF(AA22="","",DATEDIF(AA22,TODAY(),"y")&amp;"y "&amp;DATEDIF(AA22,TODAY(),"ym")&amp;"m")</f>
        <v/>
      </c>
      <c r="AC22" s="14"/>
      <c r="AD22" s="14"/>
      <c r="AE22" s="7"/>
      <c r="AF22" s="7"/>
      <c r="AG22" s="7"/>
      <c r="AH22" s="7"/>
      <c r="AI22" s="21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15" t="str">
        <f aca="false">IF(COUNTIF(AJ22:AT22,"Yes")=COLUMNS(AJ22:AT22),"Yes","No")</f>
        <v>No</v>
      </c>
      <c r="AV22" s="21"/>
      <c r="AW22" s="14"/>
      <c r="AX22" s="14"/>
      <c r="AY22" s="21"/>
    </row>
    <row r="23" customFormat="false" ht="14.25" hidden="false" customHeight="false" outlineLevel="0" collapsed="false">
      <c r="A23" s="5" t="n">
        <f aca="false">ROW()-1</f>
        <v>22</v>
      </c>
      <c r="B23" s="6"/>
      <c r="C23" s="7"/>
      <c r="D23" s="8"/>
      <c r="E23" s="8"/>
      <c r="F23" s="8"/>
      <c r="G23" s="8"/>
      <c r="H23" s="10"/>
      <c r="I23" s="11" t="str">
        <f aca="false">IFERROR(VLOOKUP(H23,'SI Codes'!$A:$B,2,FALSE()),"")</f>
        <v/>
      </c>
      <c r="J23" s="7"/>
      <c r="K23" s="12" t="str">
        <f aca="false">IFERROR(VLOOKUP(J23,Lists!$I$1:$J$21,2,FALSE()),"")</f>
        <v/>
      </c>
      <c r="L23" s="7"/>
      <c r="M23" s="7"/>
      <c r="N23" s="7"/>
      <c r="O23" s="7"/>
      <c r="P23" s="13"/>
      <c r="Q23" s="14"/>
      <c r="R23" s="15" t="str">
        <f aca="true">IF(Q23="","",IF(C23="Resigned",IF(AX23="","",DATEDIF(Q23,AX23,"y")&amp;"y "&amp;DATEDIF(Q23,AX23,"ym")&amp;"m"),DATEDIF(Q23,TODAY(),"y")&amp;"y "&amp;DATEDIF(Q23,TODAY(),"ym")&amp;"m"))</f>
        <v/>
      </c>
      <c r="S23" s="16"/>
      <c r="T23" s="16"/>
      <c r="U23" s="17"/>
      <c r="V23" s="7"/>
      <c r="W23" s="18"/>
      <c r="X23" s="18"/>
      <c r="Y23" s="7"/>
      <c r="Z23" s="19"/>
      <c r="AA23" s="20" t="str">
        <f aca="false">IFERROR(DATE(IF(LEFT(Z23,1)="2",1900,2000)+VALUE(MID(Z23,2,2)),VALUE(MID(Z23,4,2)),VALUE(MID(Z23,6,2))),"")</f>
        <v/>
      </c>
      <c r="AB23" s="15" t="str">
        <f aca="true">IF(AA23="","",DATEDIF(AA23,TODAY(),"y")&amp;"y "&amp;DATEDIF(AA23,TODAY(),"ym")&amp;"m")</f>
        <v/>
      </c>
      <c r="AC23" s="14"/>
      <c r="AD23" s="14"/>
      <c r="AE23" s="7"/>
      <c r="AF23" s="7"/>
      <c r="AG23" s="7"/>
      <c r="AH23" s="7"/>
      <c r="AI23" s="21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15" t="str">
        <f aca="false">IF(COUNTIF(AJ23:AT23,"Yes")=COLUMNS(AJ23:AT23),"Yes","No")</f>
        <v>No</v>
      </c>
      <c r="AV23" s="21"/>
      <c r="AW23" s="14"/>
      <c r="AX23" s="14"/>
      <c r="AY23" s="21"/>
    </row>
    <row r="24" customFormat="false" ht="14.25" hidden="false" customHeight="false" outlineLevel="0" collapsed="false">
      <c r="A24" s="5" t="n">
        <f aca="false">ROW()-1</f>
        <v>23</v>
      </c>
      <c r="B24" s="6"/>
      <c r="C24" s="7"/>
      <c r="D24" s="8"/>
      <c r="E24" s="8"/>
      <c r="F24" s="8"/>
      <c r="G24" s="8"/>
      <c r="H24" s="10"/>
      <c r="I24" s="11" t="str">
        <f aca="false">IFERROR(VLOOKUP(H24,'SI Codes'!$A:$B,2,FALSE()),"")</f>
        <v/>
      </c>
      <c r="J24" s="7"/>
      <c r="K24" s="12" t="str">
        <f aca="false">IFERROR(VLOOKUP(J24,Lists!$I$1:$J$21,2,FALSE()),"")</f>
        <v/>
      </c>
      <c r="L24" s="7"/>
      <c r="M24" s="7"/>
      <c r="N24" s="7"/>
      <c r="O24" s="7"/>
      <c r="P24" s="13"/>
      <c r="Q24" s="14"/>
      <c r="R24" s="15" t="str">
        <f aca="true">IF(Q24="","",IF(C24="Resigned",IF(AX24="","",DATEDIF(Q24,AX24,"y")&amp;"y "&amp;DATEDIF(Q24,AX24,"ym")&amp;"m"),DATEDIF(Q24,TODAY(),"y")&amp;"y "&amp;DATEDIF(Q24,TODAY(),"ym")&amp;"m"))</f>
        <v/>
      </c>
      <c r="S24" s="16"/>
      <c r="T24" s="16"/>
      <c r="U24" s="17"/>
      <c r="V24" s="7"/>
      <c r="W24" s="18"/>
      <c r="X24" s="18"/>
      <c r="Y24" s="7"/>
      <c r="Z24" s="19"/>
      <c r="AA24" s="20" t="str">
        <f aca="false">IFERROR(DATE(IF(LEFT(Z24,1)="2",1900,2000)+VALUE(MID(Z24,2,2)),VALUE(MID(Z24,4,2)),VALUE(MID(Z24,6,2))),"")</f>
        <v/>
      </c>
      <c r="AB24" s="15" t="str">
        <f aca="true">IF(AA24="","",DATEDIF(AA24,TODAY(),"y")&amp;"y "&amp;DATEDIF(AA24,TODAY(),"ym")&amp;"m")</f>
        <v/>
      </c>
      <c r="AC24" s="14"/>
      <c r="AD24" s="14"/>
      <c r="AE24" s="7"/>
      <c r="AF24" s="7"/>
      <c r="AG24" s="7"/>
      <c r="AH24" s="7"/>
      <c r="AI24" s="21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15" t="str">
        <f aca="false">IF(COUNTIF(AJ24:AT24,"Yes")=COLUMNS(AJ24:AT24),"Yes","No")</f>
        <v>No</v>
      </c>
      <c r="AV24" s="21"/>
      <c r="AW24" s="14"/>
      <c r="AX24" s="14"/>
      <c r="AY24" s="21"/>
    </row>
    <row r="25" customFormat="false" ht="14.25" hidden="false" customHeight="false" outlineLevel="0" collapsed="false">
      <c r="A25" s="5" t="n">
        <f aca="false">ROW()-1</f>
        <v>24</v>
      </c>
      <c r="B25" s="6"/>
      <c r="C25" s="7"/>
      <c r="D25" s="8"/>
      <c r="E25" s="8"/>
      <c r="F25" s="8"/>
      <c r="G25" s="8"/>
      <c r="H25" s="10"/>
      <c r="I25" s="11" t="str">
        <f aca="false">IFERROR(VLOOKUP(H25,'SI Codes'!$A:$B,2,FALSE()),"")</f>
        <v/>
      </c>
      <c r="J25" s="7"/>
      <c r="K25" s="12" t="str">
        <f aca="false">IFERROR(VLOOKUP(J25,Lists!$I$1:$J$21,2,FALSE()),"")</f>
        <v/>
      </c>
      <c r="L25" s="7"/>
      <c r="M25" s="7"/>
      <c r="N25" s="7"/>
      <c r="O25" s="7"/>
      <c r="P25" s="13"/>
      <c r="Q25" s="14"/>
      <c r="R25" s="15" t="str">
        <f aca="true">IF(Q25="","",IF(C25="Resigned",IF(AX25="","",DATEDIF(Q25,AX25,"y")&amp;"y "&amp;DATEDIF(Q25,AX25,"ym")&amp;"m"),DATEDIF(Q25,TODAY(),"y")&amp;"y "&amp;DATEDIF(Q25,TODAY(),"ym")&amp;"m"))</f>
        <v/>
      </c>
      <c r="S25" s="16"/>
      <c r="T25" s="16"/>
      <c r="U25" s="17"/>
      <c r="V25" s="7"/>
      <c r="W25" s="18"/>
      <c r="X25" s="18"/>
      <c r="Y25" s="7"/>
      <c r="Z25" s="19"/>
      <c r="AA25" s="20" t="str">
        <f aca="false">IFERROR(DATE(IF(LEFT(Z25,1)="2",1900,2000)+VALUE(MID(Z25,2,2)),VALUE(MID(Z25,4,2)),VALUE(MID(Z25,6,2))),"")</f>
        <v/>
      </c>
      <c r="AB25" s="15" t="str">
        <f aca="true">IF(AA25="","",DATEDIF(AA25,TODAY(),"y")&amp;"y "&amp;DATEDIF(AA25,TODAY(),"ym")&amp;"m")</f>
        <v/>
      </c>
      <c r="AC25" s="14"/>
      <c r="AD25" s="14"/>
      <c r="AE25" s="7"/>
      <c r="AF25" s="7"/>
      <c r="AG25" s="7"/>
      <c r="AH25" s="7"/>
      <c r="AI25" s="21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15" t="str">
        <f aca="false">IF(COUNTIF(AJ25:AT25,"Yes")=COLUMNS(AJ25:AT25),"Yes","No")</f>
        <v>No</v>
      </c>
      <c r="AV25" s="21"/>
      <c r="AW25" s="14"/>
      <c r="AX25" s="14"/>
      <c r="AY25" s="21"/>
    </row>
    <row r="26" customFormat="false" ht="14.25" hidden="false" customHeight="false" outlineLevel="0" collapsed="false">
      <c r="A26" s="5" t="n">
        <f aca="false">ROW()-1</f>
        <v>25</v>
      </c>
      <c r="B26" s="6"/>
      <c r="C26" s="7"/>
      <c r="D26" s="8"/>
      <c r="E26" s="8"/>
      <c r="F26" s="8"/>
      <c r="G26" s="8"/>
      <c r="H26" s="10"/>
      <c r="I26" s="11" t="str">
        <f aca="false">IFERROR(VLOOKUP(H26,'SI Codes'!$A:$B,2,FALSE()),"")</f>
        <v/>
      </c>
      <c r="J26" s="7"/>
      <c r="K26" s="12" t="str">
        <f aca="false">IFERROR(VLOOKUP(J26,Lists!$I$1:$J$21,2,FALSE()),"")</f>
        <v/>
      </c>
      <c r="L26" s="7"/>
      <c r="M26" s="7"/>
      <c r="N26" s="7"/>
      <c r="O26" s="7"/>
      <c r="P26" s="13"/>
      <c r="Q26" s="14"/>
      <c r="R26" s="15" t="str">
        <f aca="true">IF(Q26="","",IF(C26="Resigned",IF(AX26="","",DATEDIF(Q26,AX26,"y")&amp;"y "&amp;DATEDIF(Q26,AX26,"ym")&amp;"m"),DATEDIF(Q26,TODAY(),"y")&amp;"y "&amp;DATEDIF(Q26,TODAY(),"ym")&amp;"m"))</f>
        <v/>
      </c>
      <c r="S26" s="16"/>
      <c r="T26" s="16"/>
      <c r="U26" s="17"/>
      <c r="V26" s="7"/>
      <c r="W26" s="18"/>
      <c r="X26" s="18"/>
      <c r="Y26" s="7"/>
      <c r="Z26" s="19"/>
      <c r="AA26" s="20" t="str">
        <f aca="false">IFERROR(DATE(IF(LEFT(Z26,1)="2",1900,2000)+VALUE(MID(Z26,2,2)),VALUE(MID(Z26,4,2)),VALUE(MID(Z26,6,2))),"")</f>
        <v/>
      </c>
      <c r="AB26" s="15" t="str">
        <f aca="true">IF(AA26="","",DATEDIF(AA26,TODAY(),"y")&amp;"y "&amp;DATEDIF(AA26,TODAY(),"ym")&amp;"m")</f>
        <v/>
      </c>
      <c r="AC26" s="14"/>
      <c r="AD26" s="14"/>
      <c r="AE26" s="7"/>
      <c r="AF26" s="7"/>
      <c r="AG26" s="7"/>
      <c r="AH26" s="7"/>
      <c r="AI26" s="21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15" t="str">
        <f aca="false">IF(COUNTIF(AJ26:AT26,"Yes")=COLUMNS(AJ26:AT26),"Yes","No")</f>
        <v>No</v>
      </c>
      <c r="AV26" s="21"/>
      <c r="AW26" s="14"/>
      <c r="AX26" s="14"/>
      <c r="AY26" s="21"/>
    </row>
    <row r="27" customFormat="false" ht="14.25" hidden="false" customHeight="false" outlineLevel="0" collapsed="false">
      <c r="A27" s="5" t="n">
        <f aca="false">ROW()-1</f>
        <v>26</v>
      </c>
      <c r="B27" s="6"/>
      <c r="C27" s="7"/>
      <c r="D27" s="8"/>
      <c r="E27" s="8"/>
      <c r="F27" s="8"/>
      <c r="G27" s="8"/>
      <c r="H27" s="10"/>
      <c r="I27" s="11" t="str">
        <f aca="false">IFERROR(VLOOKUP(H27,'SI Codes'!$A:$B,2,FALSE()),"")</f>
        <v/>
      </c>
      <c r="J27" s="7"/>
      <c r="K27" s="12" t="str">
        <f aca="false">IFERROR(VLOOKUP(J27,Lists!$I$1:$J$21,2,FALSE()),"")</f>
        <v/>
      </c>
      <c r="L27" s="7"/>
      <c r="M27" s="7"/>
      <c r="N27" s="7"/>
      <c r="O27" s="7"/>
      <c r="P27" s="13"/>
      <c r="Q27" s="14"/>
      <c r="R27" s="15" t="str">
        <f aca="true">IF(Q27="","",IF(C27="Resigned",IF(AX27="","",DATEDIF(Q27,AX27,"y")&amp;"y "&amp;DATEDIF(Q27,AX27,"ym")&amp;"m"),DATEDIF(Q27,TODAY(),"y")&amp;"y "&amp;DATEDIF(Q27,TODAY(),"ym")&amp;"m"))</f>
        <v/>
      </c>
      <c r="S27" s="16"/>
      <c r="T27" s="16"/>
      <c r="U27" s="17"/>
      <c r="V27" s="7"/>
      <c r="W27" s="18"/>
      <c r="X27" s="18"/>
      <c r="Y27" s="7"/>
      <c r="Z27" s="19"/>
      <c r="AA27" s="20" t="str">
        <f aca="false">IFERROR(DATE(IF(LEFT(Z27,1)="2",1900,2000)+VALUE(MID(Z27,2,2)),VALUE(MID(Z27,4,2)),VALUE(MID(Z27,6,2))),"")</f>
        <v/>
      </c>
      <c r="AB27" s="15" t="str">
        <f aca="true">IF(AA27="","",DATEDIF(AA27,TODAY(),"y")&amp;"y "&amp;DATEDIF(AA27,TODAY(),"ym")&amp;"m")</f>
        <v/>
      </c>
      <c r="AC27" s="14"/>
      <c r="AD27" s="14"/>
      <c r="AE27" s="7"/>
      <c r="AF27" s="7"/>
      <c r="AG27" s="7"/>
      <c r="AH27" s="7"/>
      <c r="AI27" s="21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15" t="str">
        <f aca="false">IF(COUNTIF(AJ27:AT27,"Yes")=COLUMNS(AJ27:AT27),"Yes","No")</f>
        <v>No</v>
      </c>
      <c r="AV27" s="21"/>
      <c r="AW27" s="14"/>
      <c r="AX27" s="14"/>
      <c r="AY27" s="21"/>
    </row>
    <row r="28" customFormat="false" ht="14.25" hidden="false" customHeight="false" outlineLevel="0" collapsed="false">
      <c r="A28" s="5" t="n">
        <f aca="false">ROW()-1</f>
        <v>27</v>
      </c>
      <c r="B28" s="6"/>
      <c r="C28" s="7"/>
      <c r="D28" s="8"/>
      <c r="E28" s="8"/>
      <c r="F28" s="8"/>
      <c r="G28" s="8"/>
      <c r="H28" s="10"/>
      <c r="I28" s="11" t="str">
        <f aca="false">IFERROR(VLOOKUP(H28,'SI Codes'!$A:$B,2,FALSE()),"")</f>
        <v/>
      </c>
      <c r="J28" s="7"/>
      <c r="K28" s="12" t="str">
        <f aca="false">IFERROR(VLOOKUP(J28,Lists!$I$1:$J$21,2,FALSE()),"")</f>
        <v/>
      </c>
      <c r="L28" s="7"/>
      <c r="M28" s="7"/>
      <c r="N28" s="7"/>
      <c r="O28" s="7"/>
      <c r="P28" s="13"/>
      <c r="Q28" s="14"/>
      <c r="R28" s="15" t="str">
        <f aca="true">IF(Q28="","",IF(C28="Resigned",IF(AX28="","",DATEDIF(Q28,AX28,"y")&amp;"y "&amp;DATEDIF(Q28,AX28,"ym")&amp;"m"),DATEDIF(Q28,TODAY(),"y")&amp;"y "&amp;DATEDIF(Q28,TODAY(),"ym")&amp;"m"))</f>
        <v/>
      </c>
      <c r="S28" s="16"/>
      <c r="T28" s="16"/>
      <c r="U28" s="17"/>
      <c r="V28" s="7"/>
      <c r="W28" s="18"/>
      <c r="X28" s="18"/>
      <c r="Y28" s="7"/>
      <c r="Z28" s="19"/>
      <c r="AA28" s="20" t="str">
        <f aca="false">IFERROR(DATE(IF(LEFT(Z28,1)="2",1900,2000)+VALUE(MID(Z28,2,2)),VALUE(MID(Z28,4,2)),VALUE(MID(Z28,6,2))),"")</f>
        <v/>
      </c>
      <c r="AB28" s="15" t="str">
        <f aca="true">IF(AA28="","",DATEDIF(AA28,TODAY(),"y")&amp;"y "&amp;DATEDIF(AA28,TODAY(),"ym")&amp;"m")</f>
        <v/>
      </c>
      <c r="AC28" s="14"/>
      <c r="AD28" s="14"/>
      <c r="AE28" s="7"/>
      <c r="AF28" s="7"/>
      <c r="AG28" s="7"/>
      <c r="AH28" s="7"/>
      <c r="AI28" s="21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15" t="str">
        <f aca="false">IF(COUNTIF(AJ28:AT28,"Yes")=COLUMNS(AJ28:AT28),"Yes","No")</f>
        <v>No</v>
      </c>
      <c r="AV28" s="21"/>
      <c r="AW28" s="14"/>
      <c r="AX28" s="14"/>
      <c r="AY28" s="21"/>
    </row>
    <row r="29" customFormat="false" ht="14.25" hidden="false" customHeight="false" outlineLevel="0" collapsed="false">
      <c r="A29" s="5" t="n">
        <f aca="false">ROW()-1</f>
        <v>28</v>
      </c>
      <c r="B29" s="6"/>
      <c r="C29" s="7"/>
      <c r="D29" s="8"/>
      <c r="E29" s="8"/>
      <c r="F29" s="8"/>
      <c r="G29" s="8"/>
      <c r="H29" s="10"/>
      <c r="I29" s="11" t="str">
        <f aca="false">IFERROR(VLOOKUP(H29,'SI Codes'!$A:$B,2,FALSE()),"")</f>
        <v/>
      </c>
      <c r="J29" s="7"/>
      <c r="K29" s="12" t="str">
        <f aca="false">IFERROR(VLOOKUP(J29,Lists!$I$1:$J$21,2,FALSE()),"")</f>
        <v/>
      </c>
      <c r="L29" s="7"/>
      <c r="M29" s="7"/>
      <c r="N29" s="7"/>
      <c r="O29" s="7"/>
      <c r="P29" s="13"/>
      <c r="Q29" s="14"/>
      <c r="R29" s="15" t="str">
        <f aca="true">IF(Q29="","",IF(C29="Resigned",IF(AX29="","",DATEDIF(Q29,AX29,"y")&amp;"y "&amp;DATEDIF(Q29,AX29,"ym")&amp;"m"),DATEDIF(Q29,TODAY(),"y")&amp;"y "&amp;DATEDIF(Q29,TODAY(),"ym")&amp;"m"))</f>
        <v/>
      </c>
      <c r="S29" s="16"/>
      <c r="T29" s="16"/>
      <c r="U29" s="17"/>
      <c r="V29" s="7"/>
      <c r="W29" s="18"/>
      <c r="X29" s="18"/>
      <c r="Y29" s="7"/>
      <c r="Z29" s="19"/>
      <c r="AA29" s="20" t="str">
        <f aca="false">IFERROR(DATE(IF(LEFT(Z29,1)="2",1900,2000)+VALUE(MID(Z29,2,2)),VALUE(MID(Z29,4,2)),VALUE(MID(Z29,6,2))),"")</f>
        <v/>
      </c>
      <c r="AB29" s="15" t="str">
        <f aca="true">IF(AA29="","",DATEDIF(AA29,TODAY(),"y")&amp;"y "&amp;DATEDIF(AA29,TODAY(),"ym")&amp;"m")</f>
        <v/>
      </c>
      <c r="AC29" s="14"/>
      <c r="AD29" s="14"/>
      <c r="AE29" s="7"/>
      <c r="AF29" s="7"/>
      <c r="AG29" s="7"/>
      <c r="AH29" s="7"/>
      <c r="AI29" s="21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15" t="str">
        <f aca="false">IF(COUNTIF(AJ29:AT29,"Yes")=COLUMNS(AJ29:AT29),"Yes","No")</f>
        <v>No</v>
      </c>
      <c r="AV29" s="21"/>
      <c r="AW29" s="14"/>
      <c r="AX29" s="14"/>
      <c r="AY29" s="21"/>
    </row>
    <row r="30" customFormat="false" ht="14.25" hidden="false" customHeight="false" outlineLevel="0" collapsed="false">
      <c r="A30" s="5" t="n">
        <f aca="false">ROW()-1</f>
        <v>29</v>
      </c>
      <c r="B30" s="6"/>
      <c r="C30" s="7"/>
      <c r="D30" s="8"/>
      <c r="E30" s="8"/>
      <c r="F30" s="8"/>
      <c r="G30" s="8"/>
      <c r="H30" s="10"/>
      <c r="I30" s="11" t="str">
        <f aca="false">IFERROR(VLOOKUP(H30,'SI Codes'!$A:$B,2,FALSE()),"")</f>
        <v/>
      </c>
      <c r="J30" s="7"/>
      <c r="K30" s="12" t="str">
        <f aca="false">IFERROR(VLOOKUP(J30,Lists!$I$1:$J$21,2,FALSE()),"")</f>
        <v/>
      </c>
      <c r="L30" s="7"/>
      <c r="M30" s="7"/>
      <c r="N30" s="7"/>
      <c r="O30" s="7"/>
      <c r="P30" s="13"/>
      <c r="Q30" s="14"/>
      <c r="R30" s="15" t="str">
        <f aca="true">IF(Q30="","",IF(C30="Resigned",IF(AX30="","",DATEDIF(Q30,AX30,"y")&amp;"y "&amp;DATEDIF(Q30,AX30,"ym")&amp;"m"),DATEDIF(Q30,TODAY(),"y")&amp;"y "&amp;DATEDIF(Q30,TODAY(),"ym")&amp;"m"))</f>
        <v/>
      </c>
      <c r="S30" s="16"/>
      <c r="T30" s="16"/>
      <c r="U30" s="17"/>
      <c r="V30" s="7"/>
      <c r="W30" s="18"/>
      <c r="X30" s="18"/>
      <c r="Y30" s="7"/>
      <c r="Z30" s="19"/>
      <c r="AA30" s="20" t="str">
        <f aca="false">IFERROR(DATE(IF(LEFT(Z30,1)="2",1900,2000)+VALUE(MID(Z30,2,2)),VALUE(MID(Z30,4,2)),VALUE(MID(Z30,6,2))),"")</f>
        <v/>
      </c>
      <c r="AB30" s="15" t="str">
        <f aca="true">IF(AA30="","",DATEDIF(AA30,TODAY(),"y")&amp;"y "&amp;DATEDIF(AA30,TODAY(),"ym")&amp;"m")</f>
        <v/>
      </c>
      <c r="AC30" s="14"/>
      <c r="AD30" s="14"/>
      <c r="AE30" s="7"/>
      <c r="AF30" s="7"/>
      <c r="AG30" s="7"/>
      <c r="AH30" s="7"/>
      <c r="AI30" s="21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15" t="str">
        <f aca="false">IF(COUNTIF(AJ30:AT30,"Yes")=COLUMNS(AJ30:AT30),"Yes","No")</f>
        <v>No</v>
      </c>
      <c r="AV30" s="21"/>
      <c r="AW30" s="14"/>
      <c r="AX30" s="14"/>
      <c r="AY30" s="21"/>
    </row>
    <row r="31" customFormat="false" ht="14.25" hidden="false" customHeight="false" outlineLevel="0" collapsed="false">
      <c r="A31" s="5" t="n">
        <f aca="false">ROW()-1</f>
        <v>30</v>
      </c>
      <c r="B31" s="6"/>
      <c r="C31" s="7"/>
      <c r="D31" s="8"/>
      <c r="E31" s="8"/>
      <c r="F31" s="8"/>
      <c r="G31" s="8"/>
      <c r="H31" s="10"/>
      <c r="I31" s="11" t="str">
        <f aca="false">IFERROR(VLOOKUP(H31,'SI Codes'!$A:$B,2,FALSE()),"")</f>
        <v/>
      </c>
      <c r="J31" s="7"/>
      <c r="K31" s="12" t="str">
        <f aca="false">IFERROR(VLOOKUP(J31,Lists!$I$1:$J$21,2,FALSE()),"")</f>
        <v/>
      </c>
      <c r="L31" s="7"/>
      <c r="M31" s="7"/>
      <c r="N31" s="7"/>
      <c r="O31" s="7"/>
      <c r="P31" s="13"/>
      <c r="Q31" s="14"/>
      <c r="R31" s="15" t="str">
        <f aca="true">IF(Q31="","",IF(C31="Resigned",IF(AX31="","",DATEDIF(Q31,AX31,"y")&amp;"y "&amp;DATEDIF(Q31,AX31,"ym")&amp;"m"),DATEDIF(Q31,TODAY(),"y")&amp;"y "&amp;DATEDIF(Q31,TODAY(),"ym")&amp;"m"))</f>
        <v/>
      </c>
      <c r="S31" s="16"/>
      <c r="T31" s="16"/>
      <c r="U31" s="17"/>
      <c r="V31" s="7"/>
      <c r="W31" s="18"/>
      <c r="X31" s="18"/>
      <c r="Y31" s="7"/>
      <c r="Z31" s="19"/>
      <c r="AA31" s="20" t="str">
        <f aca="false">IFERROR(DATE(IF(LEFT(Z31,1)="2",1900,2000)+VALUE(MID(Z31,2,2)),VALUE(MID(Z31,4,2)),VALUE(MID(Z31,6,2))),"")</f>
        <v/>
      </c>
      <c r="AB31" s="15" t="str">
        <f aca="true">IF(AA31="","",DATEDIF(AA31,TODAY(),"y")&amp;"y "&amp;DATEDIF(AA31,TODAY(),"ym")&amp;"m")</f>
        <v/>
      </c>
      <c r="AC31" s="14"/>
      <c r="AD31" s="14"/>
      <c r="AE31" s="7"/>
      <c r="AF31" s="7"/>
      <c r="AG31" s="7"/>
      <c r="AH31" s="7"/>
      <c r="AI31" s="21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15" t="str">
        <f aca="false">IF(COUNTIF(AJ31:AT31,"Yes")=COLUMNS(AJ31:AT31),"Yes","No")</f>
        <v>No</v>
      </c>
      <c r="AV31" s="21"/>
      <c r="AW31" s="14"/>
      <c r="AX31" s="14"/>
      <c r="AY31" s="21"/>
    </row>
    <row r="32" customFormat="false" ht="14.25" hidden="false" customHeight="false" outlineLevel="0" collapsed="false">
      <c r="A32" s="5" t="n">
        <f aca="false">ROW()-1</f>
        <v>31</v>
      </c>
      <c r="B32" s="6"/>
      <c r="C32" s="7"/>
      <c r="D32" s="8"/>
      <c r="E32" s="8"/>
      <c r="F32" s="8"/>
      <c r="G32" s="8"/>
      <c r="H32" s="10"/>
      <c r="I32" s="11" t="str">
        <f aca="false">IFERROR(VLOOKUP(H32,'SI Codes'!$A:$B,2,FALSE()),"")</f>
        <v/>
      </c>
      <c r="J32" s="7"/>
      <c r="K32" s="12" t="str">
        <f aca="false">IFERROR(VLOOKUP(J32,Lists!$I$1:$J$21,2,FALSE()),"")</f>
        <v/>
      </c>
      <c r="L32" s="7"/>
      <c r="M32" s="7"/>
      <c r="N32" s="7"/>
      <c r="O32" s="7"/>
      <c r="P32" s="13"/>
      <c r="Q32" s="14"/>
      <c r="R32" s="15" t="str">
        <f aca="true">IF(Q32="","",IF(C32="Resigned",IF(AX32="","",DATEDIF(Q32,AX32,"y")&amp;"y "&amp;DATEDIF(Q32,AX32,"ym")&amp;"m"),DATEDIF(Q32,TODAY(),"y")&amp;"y "&amp;DATEDIF(Q32,TODAY(),"ym")&amp;"m"))</f>
        <v/>
      </c>
      <c r="S32" s="16"/>
      <c r="T32" s="16"/>
      <c r="U32" s="17"/>
      <c r="V32" s="7"/>
      <c r="W32" s="18"/>
      <c r="X32" s="18"/>
      <c r="Y32" s="7"/>
      <c r="Z32" s="19"/>
      <c r="AA32" s="20" t="str">
        <f aca="false">IFERROR(DATE(IF(LEFT(Z32,1)="2",1900,2000)+VALUE(MID(Z32,2,2)),VALUE(MID(Z32,4,2)),VALUE(MID(Z32,6,2))),"")</f>
        <v/>
      </c>
      <c r="AB32" s="15" t="str">
        <f aca="true">IF(AA32="","",DATEDIF(AA32,TODAY(),"y")&amp;"y "&amp;DATEDIF(AA32,TODAY(),"ym")&amp;"m")</f>
        <v/>
      </c>
      <c r="AC32" s="14"/>
      <c r="AD32" s="14"/>
      <c r="AE32" s="7"/>
      <c r="AF32" s="7"/>
      <c r="AG32" s="7"/>
      <c r="AH32" s="7"/>
      <c r="AI32" s="21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15" t="str">
        <f aca="false">IF(COUNTIF(AJ32:AT32,"Yes")=COLUMNS(AJ32:AT32),"Yes","No")</f>
        <v>No</v>
      </c>
      <c r="AV32" s="21"/>
      <c r="AW32" s="14"/>
      <c r="AX32" s="14"/>
      <c r="AY32" s="21"/>
    </row>
    <row r="33" customFormat="false" ht="14.25" hidden="false" customHeight="false" outlineLevel="0" collapsed="false">
      <c r="A33" s="5" t="n">
        <f aca="false">ROW()-1</f>
        <v>32</v>
      </c>
      <c r="B33" s="6"/>
      <c r="C33" s="7"/>
      <c r="D33" s="8"/>
      <c r="E33" s="8"/>
      <c r="F33" s="8"/>
      <c r="G33" s="8"/>
      <c r="H33" s="10"/>
      <c r="I33" s="11" t="str">
        <f aca="false">IFERROR(VLOOKUP(H33,'SI Codes'!$A:$B,2,FALSE()),"")</f>
        <v/>
      </c>
      <c r="J33" s="7"/>
      <c r="K33" s="12" t="str">
        <f aca="false">IFERROR(VLOOKUP(J33,Lists!$I$1:$J$21,2,FALSE()),"")</f>
        <v/>
      </c>
      <c r="L33" s="7"/>
      <c r="M33" s="7"/>
      <c r="N33" s="7"/>
      <c r="O33" s="7"/>
      <c r="P33" s="13"/>
      <c r="Q33" s="14"/>
      <c r="R33" s="15" t="str">
        <f aca="true">IF(Q33="","",IF(C33="Resigned",IF(AX33="","",DATEDIF(Q33,AX33,"y")&amp;"y "&amp;DATEDIF(Q33,AX33,"ym")&amp;"m"),DATEDIF(Q33,TODAY(),"y")&amp;"y "&amp;DATEDIF(Q33,TODAY(),"ym")&amp;"m"))</f>
        <v/>
      </c>
      <c r="S33" s="16"/>
      <c r="T33" s="16"/>
      <c r="U33" s="17"/>
      <c r="V33" s="7"/>
      <c r="W33" s="18"/>
      <c r="X33" s="18"/>
      <c r="Y33" s="7"/>
      <c r="Z33" s="19"/>
      <c r="AA33" s="20" t="str">
        <f aca="false">IFERROR(DATE(IF(LEFT(Z33,1)="2",1900,2000)+VALUE(MID(Z33,2,2)),VALUE(MID(Z33,4,2)),VALUE(MID(Z33,6,2))),"")</f>
        <v/>
      </c>
      <c r="AB33" s="15" t="str">
        <f aca="true">IF(AA33="","",DATEDIF(AA33,TODAY(),"y")&amp;"y "&amp;DATEDIF(AA33,TODAY(),"ym")&amp;"m")</f>
        <v/>
      </c>
      <c r="AC33" s="14"/>
      <c r="AD33" s="14"/>
      <c r="AE33" s="7"/>
      <c r="AF33" s="7"/>
      <c r="AG33" s="7"/>
      <c r="AH33" s="7"/>
      <c r="AI33" s="21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15" t="str">
        <f aca="false">IF(COUNTIF(AJ33:AT33,"Yes")=COLUMNS(AJ33:AT33),"Yes","No")</f>
        <v>No</v>
      </c>
      <c r="AV33" s="21"/>
      <c r="AW33" s="14"/>
      <c r="AX33" s="14"/>
      <c r="AY33" s="21"/>
    </row>
    <row r="34" customFormat="false" ht="14.25" hidden="false" customHeight="false" outlineLevel="0" collapsed="false">
      <c r="A34" s="5" t="n">
        <f aca="false">ROW()-1</f>
        <v>33</v>
      </c>
      <c r="B34" s="6"/>
      <c r="C34" s="7"/>
      <c r="D34" s="8"/>
      <c r="E34" s="8"/>
      <c r="F34" s="8"/>
      <c r="G34" s="8"/>
      <c r="H34" s="10"/>
      <c r="I34" s="11" t="str">
        <f aca="false">IFERROR(VLOOKUP(H34,'SI Codes'!$A:$B,2,FALSE()),"")</f>
        <v/>
      </c>
      <c r="J34" s="7"/>
      <c r="K34" s="12" t="str">
        <f aca="false">IFERROR(VLOOKUP(J34,Lists!$I$1:$J$21,2,FALSE()),"")</f>
        <v/>
      </c>
      <c r="L34" s="7"/>
      <c r="M34" s="7"/>
      <c r="N34" s="7"/>
      <c r="O34" s="7"/>
      <c r="P34" s="13"/>
      <c r="Q34" s="14"/>
      <c r="R34" s="15" t="str">
        <f aca="true">IF(Q34="","",IF(C34="Resigned",IF(AX34="","",DATEDIF(Q34,AX34,"y")&amp;"y "&amp;DATEDIF(Q34,AX34,"ym")&amp;"m"),DATEDIF(Q34,TODAY(),"y")&amp;"y "&amp;DATEDIF(Q34,TODAY(),"ym")&amp;"m"))</f>
        <v/>
      </c>
      <c r="S34" s="16"/>
      <c r="T34" s="16"/>
      <c r="U34" s="17"/>
      <c r="V34" s="7"/>
      <c r="W34" s="18"/>
      <c r="X34" s="18"/>
      <c r="Y34" s="7"/>
      <c r="Z34" s="19"/>
      <c r="AA34" s="20" t="str">
        <f aca="false">IFERROR(DATE(IF(LEFT(Z34,1)="2",1900,2000)+VALUE(MID(Z34,2,2)),VALUE(MID(Z34,4,2)),VALUE(MID(Z34,6,2))),"")</f>
        <v/>
      </c>
      <c r="AB34" s="15" t="str">
        <f aca="true">IF(AA34="","",DATEDIF(AA34,TODAY(),"y")&amp;"y "&amp;DATEDIF(AA34,TODAY(),"ym")&amp;"m")</f>
        <v/>
      </c>
      <c r="AC34" s="14"/>
      <c r="AD34" s="14"/>
      <c r="AE34" s="7"/>
      <c r="AF34" s="7"/>
      <c r="AG34" s="7"/>
      <c r="AH34" s="7"/>
      <c r="AI34" s="21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15" t="str">
        <f aca="false">IF(COUNTIF(AJ34:AT34,"Yes")=COLUMNS(AJ34:AT34),"Yes","No")</f>
        <v>No</v>
      </c>
      <c r="AV34" s="21"/>
      <c r="AW34" s="14"/>
      <c r="AX34" s="14"/>
      <c r="AY34" s="21"/>
    </row>
    <row r="35" customFormat="false" ht="14.25" hidden="false" customHeight="false" outlineLevel="0" collapsed="false">
      <c r="A35" s="5" t="n">
        <f aca="false">ROW()-1</f>
        <v>34</v>
      </c>
      <c r="B35" s="6"/>
      <c r="C35" s="7"/>
      <c r="D35" s="8"/>
      <c r="E35" s="8"/>
      <c r="F35" s="8"/>
      <c r="G35" s="8"/>
      <c r="H35" s="10"/>
      <c r="I35" s="11" t="str">
        <f aca="false">IFERROR(VLOOKUP(H35,'SI Codes'!$A:$B,2,FALSE()),"")</f>
        <v/>
      </c>
      <c r="J35" s="7"/>
      <c r="K35" s="12" t="str">
        <f aca="false">IFERROR(VLOOKUP(J35,Lists!$I$1:$J$21,2,FALSE()),"")</f>
        <v/>
      </c>
      <c r="L35" s="7"/>
      <c r="M35" s="7"/>
      <c r="N35" s="7"/>
      <c r="O35" s="7"/>
      <c r="P35" s="13"/>
      <c r="Q35" s="14"/>
      <c r="R35" s="15" t="str">
        <f aca="true">IF(Q35="","",IF(C35="Resigned",IF(AX35="","",DATEDIF(Q35,AX35,"y")&amp;"y "&amp;DATEDIF(Q35,AX35,"ym")&amp;"m"),DATEDIF(Q35,TODAY(),"y")&amp;"y "&amp;DATEDIF(Q35,TODAY(),"ym")&amp;"m"))</f>
        <v/>
      </c>
      <c r="S35" s="16"/>
      <c r="T35" s="16"/>
      <c r="U35" s="17"/>
      <c r="V35" s="7"/>
      <c r="W35" s="18"/>
      <c r="X35" s="18"/>
      <c r="Y35" s="7"/>
      <c r="Z35" s="19"/>
      <c r="AA35" s="20" t="str">
        <f aca="false">IFERROR(DATE(IF(LEFT(Z35,1)="2",1900,2000)+VALUE(MID(Z35,2,2)),VALUE(MID(Z35,4,2)),VALUE(MID(Z35,6,2))),"")</f>
        <v/>
      </c>
      <c r="AB35" s="15" t="str">
        <f aca="true">IF(AA35="","",DATEDIF(AA35,TODAY(),"y")&amp;"y "&amp;DATEDIF(AA35,TODAY(),"ym")&amp;"m")</f>
        <v/>
      </c>
      <c r="AC35" s="14"/>
      <c r="AD35" s="14"/>
      <c r="AE35" s="7"/>
      <c r="AF35" s="7"/>
      <c r="AG35" s="7"/>
      <c r="AH35" s="7"/>
      <c r="AI35" s="21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15" t="str">
        <f aca="false">IF(COUNTIF(AJ35:AT35,"Yes")=COLUMNS(AJ35:AT35),"Yes","No")</f>
        <v>No</v>
      </c>
      <c r="AV35" s="21"/>
      <c r="AW35" s="14"/>
      <c r="AX35" s="14"/>
      <c r="AY35" s="21"/>
    </row>
    <row r="36" customFormat="false" ht="14.25" hidden="false" customHeight="false" outlineLevel="0" collapsed="false">
      <c r="A36" s="5" t="n">
        <f aca="false">ROW()-1</f>
        <v>35</v>
      </c>
      <c r="B36" s="6"/>
      <c r="C36" s="7"/>
      <c r="D36" s="8"/>
      <c r="E36" s="8"/>
      <c r="F36" s="8"/>
      <c r="G36" s="8"/>
      <c r="H36" s="10"/>
      <c r="I36" s="11" t="str">
        <f aca="false">IFERROR(VLOOKUP(H36,'SI Codes'!$A:$B,2,FALSE()),"")</f>
        <v/>
      </c>
      <c r="J36" s="7"/>
      <c r="K36" s="12" t="str">
        <f aca="false">IFERROR(VLOOKUP(J36,Lists!$I$1:$J$21,2,FALSE()),"")</f>
        <v/>
      </c>
      <c r="L36" s="7"/>
      <c r="M36" s="7"/>
      <c r="N36" s="7"/>
      <c r="O36" s="7"/>
      <c r="P36" s="13"/>
      <c r="Q36" s="14"/>
      <c r="R36" s="15" t="str">
        <f aca="true">IF(Q36="","",IF(C36="Resigned",IF(AX36="","",DATEDIF(Q36,AX36,"y")&amp;"y "&amp;DATEDIF(Q36,AX36,"ym")&amp;"m"),DATEDIF(Q36,TODAY(),"y")&amp;"y "&amp;DATEDIF(Q36,TODAY(),"ym")&amp;"m"))</f>
        <v/>
      </c>
      <c r="S36" s="16"/>
      <c r="T36" s="16"/>
      <c r="U36" s="17"/>
      <c r="V36" s="7"/>
      <c r="W36" s="18"/>
      <c r="X36" s="18"/>
      <c r="Y36" s="7"/>
      <c r="Z36" s="19"/>
      <c r="AA36" s="20" t="str">
        <f aca="false">IFERROR(DATE(IF(LEFT(Z36,1)="2",1900,2000)+VALUE(MID(Z36,2,2)),VALUE(MID(Z36,4,2)),VALUE(MID(Z36,6,2))),"")</f>
        <v/>
      </c>
      <c r="AB36" s="15" t="str">
        <f aca="true">IF(AA36="","",DATEDIF(AA36,TODAY(),"y")&amp;"y "&amp;DATEDIF(AA36,TODAY(),"ym")&amp;"m")</f>
        <v/>
      </c>
      <c r="AC36" s="14"/>
      <c r="AD36" s="14"/>
      <c r="AE36" s="7"/>
      <c r="AF36" s="7"/>
      <c r="AG36" s="7"/>
      <c r="AH36" s="7"/>
      <c r="AI36" s="21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15" t="str">
        <f aca="false">IF(COUNTIF(AJ36:AT36,"Yes")=COLUMNS(AJ36:AT36),"Yes","No")</f>
        <v>No</v>
      </c>
      <c r="AV36" s="21"/>
      <c r="AW36" s="14"/>
      <c r="AX36" s="14"/>
      <c r="AY36" s="21"/>
    </row>
    <row r="37" customFormat="false" ht="14.25" hidden="false" customHeight="false" outlineLevel="0" collapsed="false">
      <c r="A37" s="5" t="n">
        <f aca="false">ROW()-1</f>
        <v>36</v>
      </c>
      <c r="B37" s="6"/>
      <c r="C37" s="7"/>
      <c r="D37" s="8"/>
      <c r="E37" s="8"/>
      <c r="F37" s="8"/>
      <c r="G37" s="8"/>
      <c r="H37" s="10"/>
      <c r="I37" s="11" t="str">
        <f aca="false">IFERROR(VLOOKUP(H37,'SI Codes'!$A:$B,2,FALSE()),"")</f>
        <v/>
      </c>
      <c r="J37" s="7"/>
      <c r="K37" s="12" t="str">
        <f aca="false">IFERROR(VLOOKUP(J37,Lists!$I$1:$J$21,2,FALSE()),"")</f>
        <v/>
      </c>
      <c r="L37" s="7"/>
      <c r="M37" s="7"/>
      <c r="N37" s="7"/>
      <c r="O37" s="7"/>
      <c r="P37" s="13"/>
      <c r="Q37" s="14"/>
      <c r="R37" s="15" t="str">
        <f aca="true">IF(Q37="","",IF(C37="Resigned",IF(AX37="","",DATEDIF(Q37,AX37,"y")&amp;"y "&amp;DATEDIF(Q37,AX37,"ym")&amp;"m"),DATEDIF(Q37,TODAY(),"y")&amp;"y "&amp;DATEDIF(Q37,TODAY(),"ym")&amp;"m"))</f>
        <v/>
      </c>
      <c r="S37" s="16"/>
      <c r="T37" s="16"/>
      <c r="U37" s="17"/>
      <c r="V37" s="7"/>
      <c r="W37" s="18"/>
      <c r="X37" s="18"/>
      <c r="Y37" s="7"/>
      <c r="Z37" s="19"/>
      <c r="AA37" s="20" t="str">
        <f aca="false">IFERROR(DATE(IF(LEFT(Z37,1)="2",1900,2000)+VALUE(MID(Z37,2,2)),VALUE(MID(Z37,4,2)),VALUE(MID(Z37,6,2))),"")</f>
        <v/>
      </c>
      <c r="AB37" s="15" t="str">
        <f aca="true">IF(AA37="","",DATEDIF(AA37,TODAY(),"y")&amp;"y "&amp;DATEDIF(AA37,TODAY(),"ym")&amp;"m")</f>
        <v/>
      </c>
      <c r="AC37" s="14"/>
      <c r="AD37" s="14"/>
      <c r="AE37" s="7"/>
      <c r="AF37" s="7"/>
      <c r="AG37" s="7"/>
      <c r="AH37" s="7"/>
      <c r="AI37" s="21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15" t="str">
        <f aca="false">IF(COUNTIF(AJ37:AT37,"Yes")=COLUMNS(AJ37:AT37),"Yes","No")</f>
        <v>No</v>
      </c>
      <c r="AV37" s="21"/>
      <c r="AW37" s="14"/>
      <c r="AX37" s="14"/>
      <c r="AY37" s="21"/>
    </row>
    <row r="38" customFormat="false" ht="14.25" hidden="false" customHeight="false" outlineLevel="0" collapsed="false">
      <c r="A38" s="5" t="n">
        <f aca="false">ROW()-1</f>
        <v>37</v>
      </c>
      <c r="B38" s="6"/>
      <c r="C38" s="7"/>
      <c r="D38" s="8"/>
      <c r="E38" s="8"/>
      <c r="F38" s="8"/>
      <c r="G38" s="8"/>
      <c r="H38" s="10"/>
      <c r="I38" s="11" t="str">
        <f aca="false">IFERROR(VLOOKUP(H38,'SI Codes'!$A:$B,2,FALSE()),"")</f>
        <v/>
      </c>
      <c r="J38" s="7"/>
      <c r="K38" s="12" t="str">
        <f aca="false">IFERROR(VLOOKUP(J38,Lists!$I$1:$J$21,2,FALSE()),"")</f>
        <v/>
      </c>
      <c r="L38" s="7"/>
      <c r="M38" s="7"/>
      <c r="N38" s="7"/>
      <c r="O38" s="7"/>
      <c r="P38" s="13"/>
      <c r="Q38" s="14"/>
      <c r="R38" s="15" t="str">
        <f aca="true">IF(Q38="","",IF(C38="Resigned",IF(AX38="","",DATEDIF(Q38,AX38,"y")&amp;"y "&amp;DATEDIF(Q38,AX38,"ym")&amp;"m"),DATEDIF(Q38,TODAY(),"y")&amp;"y "&amp;DATEDIF(Q38,TODAY(),"ym")&amp;"m"))</f>
        <v/>
      </c>
      <c r="S38" s="16"/>
      <c r="T38" s="16"/>
      <c r="U38" s="17"/>
      <c r="V38" s="7"/>
      <c r="W38" s="18"/>
      <c r="X38" s="18"/>
      <c r="Y38" s="7"/>
      <c r="Z38" s="19"/>
      <c r="AA38" s="20" t="str">
        <f aca="false">IFERROR(DATE(IF(LEFT(Z38,1)="2",1900,2000)+VALUE(MID(Z38,2,2)),VALUE(MID(Z38,4,2)),VALUE(MID(Z38,6,2))),"")</f>
        <v/>
      </c>
      <c r="AB38" s="15" t="str">
        <f aca="true">IF(AA38="","",DATEDIF(AA38,TODAY(),"y")&amp;"y "&amp;DATEDIF(AA38,TODAY(),"ym")&amp;"m")</f>
        <v/>
      </c>
      <c r="AC38" s="14"/>
      <c r="AD38" s="14"/>
      <c r="AE38" s="7"/>
      <c r="AF38" s="7"/>
      <c r="AG38" s="7"/>
      <c r="AH38" s="7"/>
      <c r="AI38" s="21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15" t="str">
        <f aca="false">IF(COUNTIF(AJ38:AT38,"Yes")=COLUMNS(AJ38:AT38),"Yes","No")</f>
        <v>No</v>
      </c>
      <c r="AV38" s="21"/>
      <c r="AW38" s="14"/>
      <c r="AX38" s="14"/>
      <c r="AY38" s="21"/>
    </row>
    <row r="39" customFormat="false" ht="14.25" hidden="false" customHeight="false" outlineLevel="0" collapsed="false">
      <c r="A39" s="5" t="n">
        <f aca="false">ROW()-1</f>
        <v>38</v>
      </c>
      <c r="B39" s="6"/>
      <c r="C39" s="7"/>
      <c r="D39" s="8"/>
      <c r="E39" s="8"/>
      <c r="F39" s="8"/>
      <c r="G39" s="8"/>
      <c r="H39" s="10"/>
      <c r="I39" s="11" t="str">
        <f aca="false">IFERROR(VLOOKUP(H39,'SI Codes'!$A:$B,2,FALSE()),"")</f>
        <v/>
      </c>
      <c r="J39" s="7"/>
      <c r="K39" s="12" t="str">
        <f aca="false">IFERROR(VLOOKUP(J39,Lists!$I$1:$J$21,2,FALSE()),"")</f>
        <v/>
      </c>
      <c r="L39" s="7"/>
      <c r="M39" s="7"/>
      <c r="N39" s="7"/>
      <c r="O39" s="7"/>
      <c r="P39" s="13"/>
      <c r="Q39" s="14"/>
      <c r="R39" s="15" t="str">
        <f aca="true">IF(Q39="","",IF(C39="Resigned",IF(AX39="","",DATEDIF(Q39,AX39,"y")&amp;"y "&amp;DATEDIF(Q39,AX39,"ym")&amp;"m"),DATEDIF(Q39,TODAY(),"y")&amp;"y "&amp;DATEDIF(Q39,TODAY(),"ym")&amp;"m"))</f>
        <v/>
      </c>
      <c r="S39" s="16"/>
      <c r="T39" s="16"/>
      <c r="U39" s="17"/>
      <c r="V39" s="7"/>
      <c r="W39" s="18"/>
      <c r="X39" s="18"/>
      <c r="Y39" s="7"/>
      <c r="Z39" s="19"/>
      <c r="AA39" s="20" t="str">
        <f aca="false">IFERROR(DATE(IF(LEFT(Z39,1)="2",1900,2000)+VALUE(MID(Z39,2,2)),VALUE(MID(Z39,4,2)),VALUE(MID(Z39,6,2))),"")</f>
        <v/>
      </c>
      <c r="AB39" s="15" t="str">
        <f aca="true">IF(AA39="","",DATEDIF(AA39,TODAY(),"y")&amp;"y "&amp;DATEDIF(AA39,TODAY(),"ym")&amp;"m")</f>
        <v/>
      </c>
      <c r="AC39" s="14"/>
      <c r="AD39" s="14"/>
      <c r="AE39" s="7"/>
      <c r="AF39" s="7"/>
      <c r="AG39" s="7"/>
      <c r="AH39" s="7"/>
      <c r="AI39" s="21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15" t="str">
        <f aca="false">IF(COUNTIF(AJ39:AT39,"Yes")=COLUMNS(AJ39:AT39),"Yes","No")</f>
        <v>No</v>
      </c>
      <c r="AV39" s="21"/>
      <c r="AW39" s="14"/>
      <c r="AX39" s="14"/>
      <c r="AY39" s="21"/>
    </row>
    <row r="40" customFormat="false" ht="14.25" hidden="false" customHeight="false" outlineLevel="0" collapsed="false">
      <c r="A40" s="5" t="n">
        <f aca="false">ROW()-1</f>
        <v>39</v>
      </c>
      <c r="B40" s="6"/>
      <c r="C40" s="7"/>
      <c r="D40" s="8"/>
      <c r="E40" s="8"/>
      <c r="F40" s="8"/>
      <c r="G40" s="8"/>
      <c r="H40" s="10"/>
      <c r="I40" s="11" t="str">
        <f aca="false">IFERROR(VLOOKUP(H40,'SI Codes'!$A:$B,2,FALSE()),"")</f>
        <v/>
      </c>
      <c r="J40" s="7"/>
      <c r="K40" s="12" t="str">
        <f aca="false">IFERROR(VLOOKUP(J40,Lists!$I$1:$J$21,2,FALSE()),"")</f>
        <v/>
      </c>
      <c r="L40" s="7"/>
      <c r="M40" s="7"/>
      <c r="N40" s="7"/>
      <c r="O40" s="7"/>
      <c r="P40" s="13"/>
      <c r="Q40" s="14"/>
      <c r="R40" s="15" t="str">
        <f aca="true">IF(Q40="","",IF(C40="Resigned",IF(AX40="","",DATEDIF(Q40,AX40,"y")&amp;"y "&amp;DATEDIF(Q40,AX40,"ym")&amp;"m"),DATEDIF(Q40,TODAY(),"y")&amp;"y "&amp;DATEDIF(Q40,TODAY(),"ym")&amp;"m"))</f>
        <v/>
      </c>
      <c r="S40" s="16"/>
      <c r="T40" s="16"/>
      <c r="U40" s="17"/>
      <c r="V40" s="7"/>
      <c r="W40" s="18"/>
      <c r="X40" s="18"/>
      <c r="Y40" s="7"/>
      <c r="Z40" s="19"/>
      <c r="AA40" s="20" t="str">
        <f aca="false">IFERROR(DATE(IF(LEFT(Z40,1)="2",1900,2000)+VALUE(MID(Z40,2,2)),VALUE(MID(Z40,4,2)),VALUE(MID(Z40,6,2))),"")</f>
        <v/>
      </c>
      <c r="AB40" s="15" t="str">
        <f aca="true">IF(AA40="","",DATEDIF(AA40,TODAY(),"y")&amp;"y "&amp;DATEDIF(AA40,TODAY(),"ym")&amp;"m")</f>
        <v/>
      </c>
      <c r="AC40" s="14"/>
      <c r="AD40" s="14"/>
      <c r="AE40" s="7"/>
      <c r="AF40" s="7"/>
      <c r="AG40" s="7"/>
      <c r="AH40" s="7"/>
      <c r="AI40" s="21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15" t="str">
        <f aca="false">IF(COUNTIF(AJ40:AT40,"Yes")=COLUMNS(AJ40:AT40),"Yes","No")</f>
        <v>No</v>
      </c>
      <c r="AV40" s="21"/>
      <c r="AW40" s="14"/>
      <c r="AX40" s="14"/>
      <c r="AY40" s="21"/>
    </row>
    <row r="41" customFormat="false" ht="14.25" hidden="false" customHeight="false" outlineLevel="0" collapsed="false">
      <c r="A41" s="5" t="n">
        <f aca="false">ROW()-1</f>
        <v>40</v>
      </c>
      <c r="B41" s="6"/>
      <c r="C41" s="7"/>
      <c r="D41" s="8"/>
      <c r="E41" s="8"/>
      <c r="F41" s="8"/>
      <c r="G41" s="8"/>
      <c r="H41" s="10"/>
      <c r="I41" s="11" t="str">
        <f aca="false">IFERROR(VLOOKUP(H41,'SI Codes'!$A:$B,2,FALSE()),"")</f>
        <v/>
      </c>
      <c r="J41" s="7"/>
      <c r="K41" s="12" t="str">
        <f aca="false">IFERROR(VLOOKUP(J41,Lists!$I$1:$J$21,2,FALSE()),"")</f>
        <v/>
      </c>
      <c r="L41" s="7"/>
      <c r="M41" s="7"/>
      <c r="N41" s="7"/>
      <c r="O41" s="7"/>
      <c r="P41" s="13"/>
      <c r="Q41" s="14"/>
      <c r="R41" s="15" t="str">
        <f aca="true">IF(Q41="","",IF(C41="Resigned",IF(AX41="","",DATEDIF(Q41,AX41,"y")&amp;"y "&amp;DATEDIF(Q41,AX41,"ym")&amp;"m"),DATEDIF(Q41,TODAY(),"y")&amp;"y "&amp;DATEDIF(Q41,TODAY(),"ym")&amp;"m"))</f>
        <v/>
      </c>
      <c r="S41" s="16"/>
      <c r="T41" s="16"/>
      <c r="U41" s="17"/>
      <c r="V41" s="7"/>
      <c r="W41" s="18"/>
      <c r="X41" s="18"/>
      <c r="Y41" s="7"/>
      <c r="Z41" s="19"/>
      <c r="AA41" s="20" t="str">
        <f aca="false">IFERROR(DATE(IF(LEFT(Z41,1)="2",1900,2000)+VALUE(MID(Z41,2,2)),VALUE(MID(Z41,4,2)),VALUE(MID(Z41,6,2))),"")</f>
        <v/>
      </c>
      <c r="AB41" s="15" t="str">
        <f aca="true">IF(AA41="","",DATEDIF(AA41,TODAY(),"y")&amp;"y "&amp;DATEDIF(AA41,TODAY(),"ym")&amp;"m")</f>
        <v/>
      </c>
      <c r="AC41" s="14"/>
      <c r="AD41" s="14"/>
      <c r="AE41" s="7"/>
      <c r="AF41" s="7"/>
      <c r="AG41" s="7"/>
      <c r="AH41" s="7"/>
      <c r="AI41" s="21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15" t="str">
        <f aca="false">IF(COUNTIF(AJ41:AT41,"Yes")=COLUMNS(AJ41:AT41),"Yes","No")</f>
        <v>No</v>
      </c>
      <c r="AV41" s="21"/>
      <c r="AW41" s="14"/>
      <c r="AX41" s="14"/>
      <c r="AY41" s="21"/>
    </row>
    <row r="42" customFormat="false" ht="14.25" hidden="false" customHeight="false" outlineLevel="0" collapsed="false">
      <c r="A42" s="5" t="n">
        <f aca="false">ROW()-1</f>
        <v>41</v>
      </c>
      <c r="B42" s="6"/>
      <c r="C42" s="7"/>
      <c r="D42" s="8"/>
      <c r="E42" s="8"/>
      <c r="F42" s="8"/>
      <c r="G42" s="8"/>
      <c r="H42" s="10"/>
      <c r="I42" s="11" t="str">
        <f aca="false">IFERROR(VLOOKUP(H42,'SI Codes'!$A:$B,2,FALSE()),"")</f>
        <v/>
      </c>
      <c r="J42" s="7"/>
      <c r="K42" s="12" t="str">
        <f aca="false">IFERROR(VLOOKUP(J42,Lists!$I$1:$J$21,2,FALSE()),"")</f>
        <v/>
      </c>
      <c r="L42" s="7"/>
      <c r="M42" s="7"/>
      <c r="N42" s="7"/>
      <c r="O42" s="7"/>
      <c r="P42" s="13"/>
      <c r="Q42" s="14"/>
      <c r="R42" s="15" t="str">
        <f aca="true">IF(Q42="","",IF(C42="Resigned",IF(AX42="","",DATEDIF(Q42,AX42,"y")&amp;"y "&amp;DATEDIF(Q42,AX42,"ym")&amp;"m"),DATEDIF(Q42,TODAY(),"y")&amp;"y "&amp;DATEDIF(Q42,TODAY(),"ym")&amp;"m"))</f>
        <v/>
      </c>
      <c r="S42" s="16"/>
      <c r="T42" s="16"/>
      <c r="U42" s="17"/>
      <c r="V42" s="7"/>
      <c r="W42" s="18"/>
      <c r="X42" s="18"/>
      <c r="Y42" s="7"/>
      <c r="Z42" s="19"/>
      <c r="AA42" s="20" t="str">
        <f aca="false">IFERROR(DATE(IF(LEFT(Z42,1)="2",1900,2000)+VALUE(MID(Z42,2,2)),VALUE(MID(Z42,4,2)),VALUE(MID(Z42,6,2))),"")</f>
        <v/>
      </c>
      <c r="AB42" s="15" t="str">
        <f aca="true">IF(AA42="","",DATEDIF(AA42,TODAY(),"y")&amp;"y "&amp;DATEDIF(AA42,TODAY(),"ym")&amp;"m")</f>
        <v/>
      </c>
      <c r="AC42" s="14"/>
      <c r="AD42" s="14"/>
      <c r="AE42" s="7"/>
      <c r="AF42" s="7"/>
      <c r="AG42" s="7"/>
      <c r="AH42" s="7"/>
      <c r="AI42" s="21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15" t="str">
        <f aca="false">IF(COUNTIF(AJ42:AT42,"Yes")=COLUMNS(AJ42:AT42),"Yes","No")</f>
        <v>No</v>
      </c>
      <c r="AV42" s="21"/>
      <c r="AW42" s="14"/>
      <c r="AX42" s="14"/>
      <c r="AY42" s="21"/>
    </row>
    <row r="43" customFormat="false" ht="14.25" hidden="false" customHeight="false" outlineLevel="0" collapsed="false">
      <c r="A43" s="5" t="n">
        <f aca="false">ROW()-1</f>
        <v>42</v>
      </c>
      <c r="B43" s="6"/>
      <c r="C43" s="7"/>
      <c r="D43" s="8"/>
      <c r="E43" s="8"/>
      <c r="F43" s="8"/>
      <c r="G43" s="8"/>
      <c r="H43" s="10"/>
      <c r="I43" s="11" t="str">
        <f aca="false">IFERROR(VLOOKUP(H43,'SI Codes'!$A:$B,2,FALSE()),"")</f>
        <v/>
      </c>
      <c r="J43" s="7"/>
      <c r="K43" s="12" t="str">
        <f aca="false">IFERROR(VLOOKUP(J43,Lists!$I$1:$J$21,2,FALSE()),"")</f>
        <v/>
      </c>
      <c r="L43" s="7"/>
      <c r="M43" s="7"/>
      <c r="N43" s="7"/>
      <c r="O43" s="7"/>
      <c r="P43" s="13"/>
      <c r="Q43" s="14"/>
      <c r="R43" s="15" t="str">
        <f aca="true">IF(Q43="","",IF(C43="Resigned",IF(AX43="","",DATEDIF(Q43,AX43,"y")&amp;"y "&amp;DATEDIF(Q43,AX43,"ym")&amp;"m"),DATEDIF(Q43,TODAY(),"y")&amp;"y "&amp;DATEDIF(Q43,TODAY(),"ym")&amp;"m"))</f>
        <v/>
      </c>
      <c r="S43" s="16"/>
      <c r="T43" s="16"/>
      <c r="U43" s="17"/>
      <c r="V43" s="7"/>
      <c r="W43" s="18"/>
      <c r="X43" s="18"/>
      <c r="Y43" s="7"/>
      <c r="Z43" s="19"/>
      <c r="AA43" s="20" t="str">
        <f aca="false">IFERROR(DATE(IF(LEFT(Z43,1)="2",1900,2000)+VALUE(MID(Z43,2,2)),VALUE(MID(Z43,4,2)),VALUE(MID(Z43,6,2))),"")</f>
        <v/>
      </c>
      <c r="AB43" s="15" t="str">
        <f aca="true">IF(AA43="","",DATEDIF(AA43,TODAY(),"y")&amp;"y "&amp;DATEDIF(AA43,TODAY(),"ym")&amp;"m")</f>
        <v/>
      </c>
      <c r="AC43" s="14"/>
      <c r="AD43" s="14"/>
      <c r="AE43" s="7"/>
      <c r="AF43" s="7"/>
      <c r="AG43" s="7"/>
      <c r="AH43" s="7"/>
      <c r="AI43" s="21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15" t="str">
        <f aca="false">IF(COUNTIF(AJ43:AT43,"Yes")=COLUMNS(AJ43:AT43),"Yes","No")</f>
        <v>No</v>
      </c>
      <c r="AV43" s="21"/>
      <c r="AW43" s="14"/>
      <c r="AX43" s="14"/>
      <c r="AY43" s="21"/>
    </row>
    <row r="44" customFormat="false" ht="14.25" hidden="false" customHeight="false" outlineLevel="0" collapsed="false">
      <c r="A44" s="5" t="n">
        <f aca="false">ROW()-1</f>
        <v>43</v>
      </c>
      <c r="B44" s="6"/>
      <c r="C44" s="7"/>
      <c r="D44" s="8"/>
      <c r="E44" s="8"/>
      <c r="F44" s="8"/>
      <c r="G44" s="8"/>
      <c r="H44" s="10"/>
      <c r="I44" s="11" t="str">
        <f aca="false">IFERROR(VLOOKUP(H44,'SI Codes'!$A:$B,2,FALSE()),"")</f>
        <v/>
      </c>
      <c r="J44" s="7"/>
      <c r="K44" s="12" t="str">
        <f aca="false">IFERROR(VLOOKUP(J44,Lists!$I$1:$J$21,2,FALSE()),"")</f>
        <v/>
      </c>
      <c r="L44" s="7"/>
      <c r="M44" s="7"/>
      <c r="N44" s="7"/>
      <c r="O44" s="7"/>
      <c r="P44" s="13"/>
      <c r="Q44" s="14"/>
      <c r="R44" s="15" t="str">
        <f aca="true">IF(Q44="","",IF(C44="Resigned",IF(AX44="","",DATEDIF(Q44,AX44,"y")&amp;"y "&amp;DATEDIF(Q44,AX44,"ym")&amp;"m"),DATEDIF(Q44,TODAY(),"y")&amp;"y "&amp;DATEDIF(Q44,TODAY(),"ym")&amp;"m"))</f>
        <v/>
      </c>
      <c r="S44" s="16"/>
      <c r="T44" s="16"/>
      <c r="U44" s="17"/>
      <c r="V44" s="7"/>
      <c r="W44" s="18"/>
      <c r="X44" s="18"/>
      <c r="Y44" s="7"/>
      <c r="Z44" s="19"/>
      <c r="AA44" s="20" t="str">
        <f aca="false">IFERROR(DATE(IF(LEFT(Z44,1)="2",1900,2000)+VALUE(MID(Z44,2,2)),VALUE(MID(Z44,4,2)),VALUE(MID(Z44,6,2))),"")</f>
        <v/>
      </c>
      <c r="AB44" s="15" t="str">
        <f aca="true">IF(AA44="","",DATEDIF(AA44,TODAY(),"y")&amp;"y "&amp;DATEDIF(AA44,TODAY(),"ym")&amp;"m")</f>
        <v/>
      </c>
      <c r="AC44" s="14"/>
      <c r="AD44" s="14"/>
      <c r="AE44" s="7"/>
      <c r="AF44" s="7"/>
      <c r="AG44" s="7"/>
      <c r="AH44" s="7"/>
      <c r="AI44" s="21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15" t="str">
        <f aca="false">IF(COUNTIF(AJ44:AT44,"Yes")=COLUMNS(AJ44:AT44),"Yes","No")</f>
        <v>No</v>
      </c>
      <c r="AV44" s="21"/>
      <c r="AW44" s="14"/>
      <c r="AX44" s="14"/>
      <c r="AY44" s="21"/>
    </row>
    <row r="45" customFormat="false" ht="14.25" hidden="false" customHeight="false" outlineLevel="0" collapsed="false">
      <c r="A45" s="5" t="n">
        <f aca="false">ROW()-1</f>
        <v>44</v>
      </c>
      <c r="B45" s="6"/>
      <c r="C45" s="7"/>
      <c r="D45" s="8"/>
      <c r="E45" s="8"/>
      <c r="F45" s="8"/>
      <c r="G45" s="8"/>
      <c r="H45" s="10"/>
      <c r="I45" s="11" t="str">
        <f aca="false">IFERROR(VLOOKUP(H45,'SI Codes'!$A:$B,2,FALSE()),"")</f>
        <v/>
      </c>
      <c r="J45" s="7"/>
      <c r="K45" s="12" t="str">
        <f aca="false">IFERROR(VLOOKUP(J45,Lists!$I$1:$J$21,2,FALSE()),"")</f>
        <v/>
      </c>
      <c r="L45" s="7"/>
      <c r="M45" s="7"/>
      <c r="N45" s="7"/>
      <c r="O45" s="7"/>
      <c r="P45" s="13"/>
      <c r="Q45" s="14"/>
      <c r="R45" s="15" t="str">
        <f aca="true">IF(Q45="","",IF(C45="Resigned",IF(AX45="","",DATEDIF(Q45,AX45,"y")&amp;"y "&amp;DATEDIF(Q45,AX45,"ym")&amp;"m"),DATEDIF(Q45,TODAY(),"y")&amp;"y "&amp;DATEDIF(Q45,TODAY(),"ym")&amp;"m"))</f>
        <v/>
      </c>
      <c r="S45" s="16"/>
      <c r="T45" s="16"/>
      <c r="U45" s="17"/>
      <c r="V45" s="7"/>
      <c r="W45" s="18"/>
      <c r="X45" s="18"/>
      <c r="Y45" s="7"/>
      <c r="Z45" s="19"/>
      <c r="AA45" s="20" t="str">
        <f aca="false">IFERROR(DATE(IF(LEFT(Z45,1)="2",1900,2000)+VALUE(MID(Z45,2,2)),VALUE(MID(Z45,4,2)),VALUE(MID(Z45,6,2))),"")</f>
        <v/>
      </c>
      <c r="AB45" s="15" t="str">
        <f aca="true">IF(AA45="","",DATEDIF(AA45,TODAY(),"y")&amp;"y "&amp;DATEDIF(AA45,TODAY(),"ym")&amp;"m")</f>
        <v/>
      </c>
      <c r="AC45" s="14"/>
      <c r="AD45" s="14"/>
      <c r="AE45" s="7"/>
      <c r="AF45" s="7"/>
      <c r="AG45" s="7"/>
      <c r="AH45" s="7"/>
      <c r="AI45" s="21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15" t="str">
        <f aca="false">IF(COUNTIF(AJ45:AT45,"Yes")=COLUMNS(AJ45:AT45),"Yes","No")</f>
        <v>No</v>
      </c>
      <c r="AV45" s="21"/>
      <c r="AW45" s="14"/>
      <c r="AX45" s="14"/>
      <c r="AY45" s="21"/>
    </row>
    <row r="46" customFormat="false" ht="14.25" hidden="false" customHeight="false" outlineLevel="0" collapsed="false">
      <c r="A46" s="5" t="n">
        <f aca="false">ROW()-1</f>
        <v>45</v>
      </c>
      <c r="B46" s="6"/>
      <c r="C46" s="7"/>
      <c r="D46" s="8"/>
      <c r="E46" s="8"/>
      <c r="F46" s="8"/>
      <c r="G46" s="8"/>
      <c r="H46" s="10"/>
      <c r="I46" s="11" t="str">
        <f aca="false">IFERROR(VLOOKUP(H46,'SI Codes'!$A:$B,2,FALSE()),"")</f>
        <v/>
      </c>
      <c r="J46" s="7"/>
      <c r="K46" s="12" t="str">
        <f aca="false">IFERROR(VLOOKUP(J46,Lists!$I$1:$J$21,2,FALSE()),"")</f>
        <v/>
      </c>
      <c r="L46" s="7"/>
      <c r="M46" s="7"/>
      <c r="N46" s="7"/>
      <c r="O46" s="7"/>
      <c r="P46" s="13"/>
      <c r="Q46" s="14"/>
      <c r="R46" s="15" t="str">
        <f aca="true">IF(Q46="","",IF(C46="Resigned",IF(AX46="","",DATEDIF(Q46,AX46,"y")&amp;"y "&amp;DATEDIF(Q46,AX46,"ym")&amp;"m"),DATEDIF(Q46,TODAY(),"y")&amp;"y "&amp;DATEDIF(Q46,TODAY(),"ym")&amp;"m"))</f>
        <v/>
      </c>
      <c r="S46" s="16"/>
      <c r="T46" s="16"/>
      <c r="U46" s="17"/>
      <c r="V46" s="7"/>
      <c r="W46" s="18"/>
      <c r="X46" s="18"/>
      <c r="Y46" s="7"/>
      <c r="Z46" s="19"/>
      <c r="AA46" s="20" t="str">
        <f aca="false">IFERROR(DATE(IF(LEFT(Z46,1)="2",1900,2000)+VALUE(MID(Z46,2,2)),VALUE(MID(Z46,4,2)),VALUE(MID(Z46,6,2))),"")</f>
        <v/>
      </c>
      <c r="AB46" s="15" t="str">
        <f aca="true">IF(AA46="","",DATEDIF(AA46,TODAY(),"y")&amp;"y "&amp;DATEDIF(AA46,TODAY(),"ym")&amp;"m")</f>
        <v/>
      </c>
      <c r="AC46" s="14"/>
      <c r="AD46" s="14"/>
      <c r="AE46" s="7"/>
      <c r="AF46" s="7"/>
      <c r="AG46" s="7"/>
      <c r="AH46" s="7"/>
      <c r="AI46" s="21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15" t="str">
        <f aca="false">IF(COUNTIF(AJ46:AT46,"Yes")=COLUMNS(AJ46:AT46),"Yes","No")</f>
        <v>No</v>
      </c>
      <c r="AV46" s="21"/>
      <c r="AW46" s="14"/>
      <c r="AX46" s="14"/>
      <c r="AY46" s="21"/>
    </row>
    <row r="47" customFormat="false" ht="14.25" hidden="false" customHeight="false" outlineLevel="0" collapsed="false">
      <c r="A47" s="5" t="n">
        <f aca="false">ROW()-1</f>
        <v>46</v>
      </c>
      <c r="B47" s="6"/>
      <c r="C47" s="7"/>
      <c r="D47" s="8"/>
      <c r="E47" s="8"/>
      <c r="F47" s="8"/>
      <c r="G47" s="8"/>
      <c r="H47" s="10"/>
      <c r="I47" s="11" t="str">
        <f aca="false">IFERROR(VLOOKUP(H47,'SI Codes'!$A:$B,2,FALSE()),"")</f>
        <v/>
      </c>
      <c r="J47" s="7"/>
      <c r="K47" s="12" t="str">
        <f aca="false">IFERROR(VLOOKUP(J47,Lists!$I$1:$J$21,2,FALSE()),"")</f>
        <v/>
      </c>
      <c r="L47" s="7"/>
      <c r="M47" s="7"/>
      <c r="N47" s="7"/>
      <c r="O47" s="7"/>
      <c r="P47" s="13"/>
      <c r="Q47" s="14"/>
      <c r="R47" s="15" t="str">
        <f aca="true">IF(Q47="","",IF(C47="Resigned",IF(AX47="","",DATEDIF(Q47,AX47,"y")&amp;"y "&amp;DATEDIF(Q47,AX47,"ym")&amp;"m"),DATEDIF(Q47,TODAY(),"y")&amp;"y "&amp;DATEDIF(Q47,TODAY(),"ym")&amp;"m"))</f>
        <v/>
      </c>
      <c r="S47" s="16"/>
      <c r="T47" s="16"/>
      <c r="U47" s="17"/>
      <c r="V47" s="7"/>
      <c r="W47" s="18"/>
      <c r="X47" s="18"/>
      <c r="Y47" s="7"/>
      <c r="Z47" s="19"/>
      <c r="AA47" s="20" t="str">
        <f aca="false">IFERROR(DATE(IF(LEFT(Z47,1)="2",1900,2000)+VALUE(MID(Z47,2,2)),VALUE(MID(Z47,4,2)),VALUE(MID(Z47,6,2))),"")</f>
        <v/>
      </c>
      <c r="AB47" s="15" t="str">
        <f aca="true">IF(AA47="","",DATEDIF(AA47,TODAY(),"y")&amp;"y "&amp;DATEDIF(AA47,TODAY(),"ym")&amp;"m")</f>
        <v/>
      </c>
      <c r="AC47" s="14"/>
      <c r="AD47" s="14"/>
      <c r="AE47" s="7"/>
      <c r="AF47" s="7"/>
      <c r="AG47" s="7"/>
      <c r="AH47" s="7"/>
      <c r="AI47" s="21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15" t="str">
        <f aca="false">IF(COUNTIF(AJ47:AT47,"Yes")=COLUMNS(AJ47:AT47),"Yes","No")</f>
        <v>No</v>
      </c>
      <c r="AV47" s="21"/>
      <c r="AW47" s="14"/>
      <c r="AX47" s="14"/>
      <c r="AY47" s="21"/>
    </row>
    <row r="48" customFormat="false" ht="14.25" hidden="false" customHeight="false" outlineLevel="0" collapsed="false">
      <c r="A48" s="5" t="n">
        <f aca="false">ROW()-1</f>
        <v>47</v>
      </c>
      <c r="B48" s="6"/>
      <c r="C48" s="7"/>
      <c r="D48" s="8"/>
      <c r="E48" s="8"/>
      <c r="F48" s="8"/>
      <c r="G48" s="8"/>
      <c r="H48" s="10"/>
      <c r="I48" s="11" t="str">
        <f aca="false">IFERROR(VLOOKUP(H48,'SI Codes'!$A:$B,2,FALSE()),"")</f>
        <v/>
      </c>
      <c r="J48" s="7"/>
      <c r="K48" s="12" t="str">
        <f aca="false">IFERROR(VLOOKUP(J48,Lists!$I$1:$J$21,2,FALSE()),"")</f>
        <v/>
      </c>
      <c r="L48" s="7"/>
      <c r="M48" s="7"/>
      <c r="N48" s="7"/>
      <c r="O48" s="7"/>
      <c r="P48" s="13"/>
      <c r="Q48" s="14"/>
      <c r="R48" s="15" t="str">
        <f aca="true">IF(Q48="","",IF(C48="Resigned",IF(AX48="","",DATEDIF(Q48,AX48,"y")&amp;"y "&amp;DATEDIF(Q48,AX48,"ym")&amp;"m"),DATEDIF(Q48,TODAY(),"y")&amp;"y "&amp;DATEDIF(Q48,TODAY(),"ym")&amp;"m"))</f>
        <v/>
      </c>
      <c r="S48" s="16"/>
      <c r="T48" s="16"/>
      <c r="U48" s="17"/>
      <c r="V48" s="7"/>
      <c r="W48" s="18"/>
      <c r="X48" s="18"/>
      <c r="Y48" s="7"/>
      <c r="Z48" s="19"/>
      <c r="AA48" s="20" t="str">
        <f aca="false">IFERROR(DATE(IF(LEFT(Z48,1)="2",1900,2000)+VALUE(MID(Z48,2,2)),VALUE(MID(Z48,4,2)),VALUE(MID(Z48,6,2))),"")</f>
        <v/>
      </c>
      <c r="AB48" s="15" t="str">
        <f aca="true">IF(AA48="","",DATEDIF(AA48,TODAY(),"y")&amp;"y "&amp;DATEDIF(AA48,TODAY(),"ym")&amp;"m")</f>
        <v/>
      </c>
      <c r="AC48" s="14"/>
      <c r="AD48" s="14"/>
      <c r="AE48" s="7"/>
      <c r="AF48" s="7"/>
      <c r="AG48" s="7"/>
      <c r="AH48" s="7"/>
      <c r="AI48" s="21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15" t="str">
        <f aca="false">IF(COUNTIF(AJ48:AT48,"Yes")=COLUMNS(AJ48:AT48),"Yes","No")</f>
        <v>No</v>
      </c>
      <c r="AV48" s="21"/>
      <c r="AW48" s="14"/>
      <c r="AX48" s="14"/>
      <c r="AY48" s="21"/>
    </row>
    <row r="49" customFormat="false" ht="14.25" hidden="false" customHeight="false" outlineLevel="0" collapsed="false">
      <c r="A49" s="5" t="n">
        <f aca="false">ROW()-1</f>
        <v>48</v>
      </c>
      <c r="B49" s="6"/>
      <c r="C49" s="7"/>
      <c r="D49" s="8"/>
      <c r="E49" s="8"/>
      <c r="F49" s="8"/>
      <c r="G49" s="8"/>
      <c r="H49" s="10"/>
      <c r="I49" s="11" t="str">
        <f aca="false">IFERROR(VLOOKUP(H49,'SI Codes'!$A:$B,2,FALSE()),"")</f>
        <v/>
      </c>
      <c r="J49" s="7"/>
      <c r="K49" s="12" t="str">
        <f aca="false">IFERROR(VLOOKUP(J49,Lists!$I$1:$J$21,2,FALSE()),"")</f>
        <v/>
      </c>
      <c r="L49" s="7"/>
      <c r="M49" s="7"/>
      <c r="N49" s="7"/>
      <c r="O49" s="7"/>
      <c r="P49" s="13"/>
      <c r="Q49" s="14"/>
      <c r="R49" s="15" t="str">
        <f aca="true">IF(Q49="","",IF(C49="Resigned",IF(AX49="","",DATEDIF(Q49,AX49,"y")&amp;"y "&amp;DATEDIF(Q49,AX49,"ym")&amp;"m"),DATEDIF(Q49,TODAY(),"y")&amp;"y "&amp;DATEDIF(Q49,TODAY(),"ym")&amp;"m"))</f>
        <v/>
      </c>
      <c r="S49" s="16"/>
      <c r="T49" s="16"/>
      <c r="U49" s="17"/>
      <c r="V49" s="7"/>
      <c r="W49" s="18"/>
      <c r="X49" s="18"/>
      <c r="Y49" s="7"/>
      <c r="Z49" s="19"/>
      <c r="AA49" s="20" t="str">
        <f aca="false">IFERROR(DATE(IF(LEFT(Z49,1)="2",1900,2000)+VALUE(MID(Z49,2,2)),VALUE(MID(Z49,4,2)),VALUE(MID(Z49,6,2))),"")</f>
        <v/>
      </c>
      <c r="AB49" s="15" t="str">
        <f aca="true">IF(AA49="","",DATEDIF(AA49,TODAY(),"y")&amp;"y "&amp;DATEDIF(AA49,TODAY(),"ym")&amp;"m")</f>
        <v/>
      </c>
      <c r="AC49" s="14"/>
      <c r="AD49" s="14"/>
      <c r="AE49" s="7"/>
      <c r="AF49" s="7"/>
      <c r="AG49" s="7"/>
      <c r="AH49" s="7"/>
      <c r="AI49" s="21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15" t="str">
        <f aca="false">IF(COUNTIF(AJ49:AT49,"Yes")=COLUMNS(AJ49:AT49),"Yes","No")</f>
        <v>No</v>
      </c>
      <c r="AV49" s="21"/>
      <c r="AW49" s="14"/>
      <c r="AX49" s="14"/>
      <c r="AY49" s="21"/>
    </row>
    <row r="50" customFormat="false" ht="14.25" hidden="false" customHeight="false" outlineLevel="0" collapsed="false">
      <c r="A50" s="5" t="n">
        <f aca="false">ROW()-1</f>
        <v>49</v>
      </c>
      <c r="B50" s="6"/>
      <c r="C50" s="7"/>
      <c r="D50" s="8"/>
      <c r="E50" s="8"/>
      <c r="F50" s="8"/>
      <c r="G50" s="8"/>
      <c r="H50" s="10"/>
      <c r="I50" s="11" t="str">
        <f aca="false">IFERROR(VLOOKUP(H50,'SI Codes'!$A:$B,2,FALSE()),"")</f>
        <v/>
      </c>
      <c r="J50" s="7"/>
      <c r="K50" s="12" t="str">
        <f aca="false">IFERROR(VLOOKUP(J50,Lists!$I$1:$J$21,2,FALSE()),"")</f>
        <v/>
      </c>
      <c r="L50" s="7"/>
      <c r="M50" s="7"/>
      <c r="N50" s="7"/>
      <c r="O50" s="7"/>
      <c r="P50" s="13"/>
      <c r="Q50" s="14"/>
      <c r="R50" s="15" t="str">
        <f aca="true">IF(Q50="","",IF(C50="Resigned",IF(AX50="","",DATEDIF(Q50,AX50,"y")&amp;"y "&amp;DATEDIF(Q50,AX50,"ym")&amp;"m"),DATEDIF(Q50,TODAY(),"y")&amp;"y "&amp;DATEDIF(Q50,TODAY(),"ym")&amp;"m"))</f>
        <v/>
      </c>
      <c r="S50" s="16"/>
      <c r="T50" s="16"/>
      <c r="U50" s="17"/>
      <c r="V50" s="7"/>
      <c r="W50" s="18"/>
      <c r="X50" s="18"/>
      <c r="Y50" s="7"/>
      <c r="Z50" s="19"/>
      <c r="AA50" s="20" t="str">
        <f aca="false">IFERROR(DATE(IF(LEFT(Z50,1)="2",1900,2000)+VALUE(MID(Z50,2,2)),VALUE(MID(Z50,4,2)),VALUE(MID(Z50,6,2))),"")</f>
        <v/>
      </c>
      <c r="AB50" s="15" t="str">
        <f aca="true">IF(AA50="","",DATEDIF(AA50,TODAY(),"y")&amp;"y "&amp;DATEDIF(AA50,TODAY(),"ym")&amp;"m")</f>
        <v/>
      </c>
      <c r="AC50" s="14"/>
      <c r="AD50" s="14"/>
      <c r="AE50" s="7"/>
      <c r="AF50" s="7"/>
      <c r="AG50" s="7"/>
      <c r="AH50" s="7"/>
      <c r="AI50" s="21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15" t="str">
        <f aca="false">IF(COUNTIF(AJ50:AT50,"Yes")=COLUMNS(AJ50:AT50),"Yes","No")</f>
        <v>No</v>
      </c>
      <c r="AV50" s="21"/>
      <c r="AW50" s="14"/>
      <c r="AX50" s="14"/>
      <c r="AY50" s="21"/>
    </row>
    <row r="51" customFormat="false" ht="14.25" hidden="false" customHeight="false" outlineLevel="0" collapsed="false">
      <c r="A51" s="5" t="n">
        <f aca="false">ROW()-1</f>
        <v>50</v>
      </c>
      <c r="B51" s="6"/>
      <c r="C51" s="7"/>
      <c r="D51" s="8"/>
      <c r="E51" s="8"/>
      <c r="F51" s="8"/>
      <c r="G51" s="8"/>
      <c r="H51" s="10"/>
      <c r="I51" s="11" t="str">
        <f aca="false">IFERROR(VLOOKUP(H51,'SI Codes'!$A:$B,2,FALSE()),"")</f>
        <v/>
      </c>
      <c r="J51" s="7"/>
      <c r="K51" s="12" t="str">
        <f aca="false">IFERROR(VLOOKUP(J51,Lists!$I$1:$J$21,2,FALSE()),"")</f>
        <v/>
      </c>
      <c r="L51" s="7"/>
      <c r="M51" s="7"/>
      <c r="N51" s="7"/>
      <c r="O51" s="7"/>
      <c r="P51" s="13"/>
      <c r="Q51" s="14"/>
      <c r="R51" s="15" t="str">
        <f aca="true">IF(Q51="","",IF(C51="Resigned",IF(AX51="","",DATEDIF(Q51,AX51,"y")&amp;"y "&amp;DATEDIF(Q51,AX51,"ym")&amp;"m"),DATEDIF(Q51,TODAY(),"y")&amp;"y "&amp;DATEDIF(Q51,TODAY(),"ym")&amp;"m"))</f>
        <v/>
      </c>
      <c r="S51" s="16"/>
      <c r="T51" s="16"/>
      <c r="U51" s="17"/>
      <c r="V51" s="7"/>
      <c r="W51" s="18"/>
      <c r="X51" s="18"/>
      <c r="Y51" s="7"/>
      <c r="Z51" s="19"/>
      <c r="AA51" s="20" t="str">
        <f aca="false">IFERROR(DATE(IF(LEFT(Z51,1)="2",1900,2000)+VALUE(MID(Z51,2,2)),VALUE(MID(Z51,4,2)),VALUE(MID(Z51,6,2))),"")</f>
        <v/>
      </c>
      <c r="AB51" s="15" t="str">
        <f aca="true">IF(AA51="","",DATEDIF(AA51,TODAY(),"y")&amp;"y "&amp;DATEDIF(AA51,TODAY(),"ym")&amp;"m")</f>
        <v/>
      </c>
      <c r="AC51" s="14"/>
      <c r="AD51" s="14"/>
      <c r="AE51" s="7"/>
      <c r="AF51" s="7"/>
      <c r="AG51" s="7"/>
      <c r="AH51" s="7"/>
      <c r="AI51" s="21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15" t="str">
        <f aca="false">IF(COUNTIF(AJ51:AT51,"Yes")=COLUMNS(AJ51:AT51),"Yes","No")</f>
        <v>No</v>
      </c>
      <c r="AV51" s="21"/>
      <c r="AW51" s="14"/>
      <c r="AX51" s="14"/>
      <c r="AY51" s="21"/>
    </row>
    <row r="52" customFormat="false" ht="14.25" hidden="false" customHeight="false" outlineLevel="0" collapsed="false">
      <c r="A52" s="5" t="n">
        <f aca="false">ROW()-1</f>
        <v>51</v>
      </c>
      <c r="J52" s="1"/>
      <c r="K52" s="12" t="str">
        <f aca="false">IFERROR(VLOOKUP(J52,Lists!$I$1:$J$21,2,FALSE()),"")</f>
        <v/>
      </c>
      <c r="L52" s="1"/>
      <c r="M52" s="1"/>
      <c r="N52" s="1"/>
      <c r="O52" s="1"/>
      <c r="P52" s="1"/>
      <c r="Q52" s="1"/>
      <c r="R52" s="1"/>
      <c r="S52" s="22"/>
      <c r="T52" s="22"/>
      <c r="U52" s="1"/>
      <c r="V52" s="1"/>
      <c r="W52" s="23"/>
      <c r="X52" s="23"/>
      <c r="Y52" s="1"/>
      <c r="Z52" s="19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5" t="str">
        <f aca="false">IF(COUNTIF(AJ52:AT52,"Yes")=COLUMNS(AJ52:AT52),"Yes","No")</f>
        <v>No</v>
      </c>
      <c r="AV52" s="1"/>
      <c r="AW52" s="1"/>
      <c r="AX52" s="1"/>
      <c r="AY52" s="1"/>
    </row>
    <row r="53" customFormat="false" ht="14.25" hidden="false" customHeight="false" outlineLevel="0" collapsed="false">
      <c r="A53" s="5" t="n">
        <f aca="false">ROW()-1</f>
        <v>52</v>
      </c>
      <c r="J53" s="1"/>
      <c r="K53" s="12" t="str">
        <f aca="false">IFERROR(VLOOKUP(J53,Lists!$I$1:$J$21,2,FALSE()),"")</f>
        <v/>
      </c>
      <c r="L53" s="1"/>
      <c r="M53" s="1"/>
      <c r="N53" s="1"/>
      <c r="O53" s="1"/>
      <c r="P53" s="1"/>
      <c r="Q53" s="1"/>
      <c r="R53" s="1"/>
      <c r="S53" s="22"/>
      <c r="T53" s="22"/>
      <c r="U53" s="1"/>
      <c r="V53" s="1"/>
      <c r="W53" s="23"/>
      <c r="X53" s="23"/>
      <c r="Y53" s="1"/>
      <c r="Z53" s="19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5" t="str">
        <f aca="false">IF(COUNTIF(AJ53:AT53,"Yes")=COLUMNS(AJ53:AT53),"Yes","No")</f>
        <v>No</v>
      </c>
      <c r="AV53" s="1"/>
      <c r="AW53" s="1"/>
      <c r="AX53" s="1"/>
      <c r="AY53" s="1"/>
    </row>
    <row r="54" customFormat="false" ht="14.25" hidden="false" customHeight="false" outlineLevel="0" collapsed="false">
      <c r="A54" s="5" t="n">
        <f aca="false">ROW()-1</f>
        <v>53</v>
      </c>
      <c r="J54" s="1"/>
      <c r="K54" s="12" t="str">
        <f aca="false">IFERROR(VLOOKUP(J54,Lists!$I$1:$J$21,2,FALSE()),"")</f>
        <v/>
      </c>
      <c r="L54" s="1"/>
      <c r="M54" s="1"/>
      <c r="N54" s="1"/>
      <c r="O54" s="1"/>
      <c r="P54" s="1"/>
      <c r="Q54" s="1"/>
      <c r="R54" s="1"/>
      <c r="S54" s="22"/>
      <c r="T54" s="22"/>
      <c r="U54" s="1"/>
      <c r="V54" s="1"/>
      <c r="W54" s="23"/>
      <c r="X54" s="23"/>
      <c r="Y54" s="1"/>
      <c r="Z54" s="19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5" t="str">
        <f aca="false">IF(COUNTIF(AJ54:AT54,"Yes")=COLUMNS(AJ54:AT54),"Yes","No")</f>
        <v>No</v>
      </c>
      <c r="AV54" s="1"/>
      <c r="AW54" s="1"/>
      <c r="AX54" s="1"/>
      <c r="AY54" s="1"/>
    </row>
    <row r="55" customFormat="false" ht="14.25" hidden="false" customHeight="false" outlineLevel="0" collapsed="false">
      <c r="A55" s="5" t="n">
        <f aca="false">ROW()-1</f>
        <v>54</v>
      </c>
      <c r="J55" s="1"/>
      <c r="K55" s="12" t="str">
        <f aca="false">IFERROR(VLOOKUP(J55,Lists!$I$1:$J$21,2,FALSE()),"")</f>
        <v/>
      </c>
      <c r="L55" s="1"/>
      <c r="M55" s="1"/>
      <c r="N55" s="1"/>
      <c r="O55" s="1"/>
      <c r="P55" s="1"/>
      <c r="Q55" s="1"/>
      <c r="R55" s="1"/>
      <c r="S55" s="22"/>
      <c r="T55" s="22"/>
      <c r="U55" s="1"/>
      <c r="V55" s="1"/>
      <c r="W55" s="23"/>
      <c r="X55" s="23"/>
      <c r="Y55" s="1"/>
      <c r="Z55" s="19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5" t="str">
        <f aca="false">IF(COUNTIF(AJ55:AT55,"Yes")=COLUMNS(AJ55:AT55),"Yes","No")</f>
        <v>No</v>
      </c>
      <c r="AV55" s="1"/>
      <c r="AW55" s="1"/>
      <c r="AX55" s="1"/>
      <c r="AY55" s="1"/>
    </row>
    <row r="56" customFormat="false" ht="14.25" hidden="false" customHeight="false" outlineLevel="0" collapsed="false">
      <c r="A56" s="5" t="n">
        <f aca="false">ROW()-1</f>
        <v>55</v>
      </c>
      <c r="J56" s="1"/>
      <c r="K56" s="12" t="str">
        <f aca="false">IFERROR(VLOOKUP(J56,Lists!$I$1:$J$21,2,FALSE()),"")</f>
        <v/>
      </c>
      <c r="L56" s="1"/>
      <c r="M56" s="1"/>
      <c r="N56" s="1"/>
      <c r="O56" s="1"/>
      <c r="P56" s="1"/>
      <c r="Q56" s="1"/>
      <c r="R56" s="1"/>
      <c r="S56" s="22"/>
      <c r="T56" s="22"/>
      <c r="U56" s="1"/>
      <c r="V56" s="1"/>
      <c r="W56" s="23"/>
      <c r="X56" s="23"/>
      <c r="Y56" s="1"/>
      <c r="Z56" s="19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5" t="str">
        <f aca="false">IF(COUNTIF(AJ56:AT56,"Yes")=COLUMNS(AJ56:AT56),"Yes","No")</f>
        <v>No</v>
      </c>
      <c r="AV56" s="1"/>
      <c r="AW56" s="1"/>
      <c r="AX56" s="1"/>
      <c r="AY56" s="1"/>
    </row>
    <row r="57" customFormat="false" ht="14.25" hidden="false" customHeight="false" outlineLevel="0" collapsed="false">
      <c r="A57" s="5" t="n">
        <f aca="false">ROW()-1</f>
        <v>56</v>
      </c>
      <c r="J57" s="1"/>
      <c r="K57" s="12" t="str">
        <f aca="false">IFERROR(VLOOKUP(J57,Lists!$I$1:$J$21,2,FALSE()),"")</f>
        <v/>
      </c>
      <c r="L57" s="1"/>
      <c r="M57" s="1"/>
      <c r="N57" s="1"/>
      <c r="O57" s="1"/>
      <c r="P57" s="1"/>
      <c r="Q57" s="1"/>
      <c r="R57" s="1"/>
      <c r="S57" s="22"/>
      <c r="T57" s="22"/>
      <c r="U57" s="1"/>
      <c r="V57" s="1"/>
      <c r="W57" s="23"/>
      <c r="X57" s="23"/>
      <c r="Y57" s="1"/>
      <c r="Z57" s="19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5" t="str">
        <f aca="false">IF(COUNTIF(AJ57:AT57,"Yes")=COLUMNS(AJ57:AT57),"Yes","No")</f>
        <v>No</v>
      </c>
      <c r="AV57" s="1"/>
      <c r="AW57" s="1"/>
      <c r="AX57" s="1"/>
      <c r="AY57" s="1"/>
    </row>
    <row r="58" customFormat="false" ht="14.25" hidden="false" customHeight="false" outlineLevel="0" collapsed="false">
      <c r="A58" s="5" t="n">
        <f aca="false">ROW()-1</f>
        <v>57</v>
      </c>
      <c r="J58" s="1"/>
      <c r="K58" s="12" t="str">
        <f aca="false">IFERROR(VLOOKUP(J58,Lists!$I$1:$J$21,2,FALSE()),"")</f>
        <v/>
      </c>
      <c r="L58" s="1"/>
      <c r="M58" s="1"/>
      <c r="N58" s="1"/>
      <c r="O58" s="1"/>
      <c r="P58" s="1"/>
      <c r="Q58" s="1"/>
      <c r="R58" s="1"/>
      <c r="S58" s="22"/>
      <c r="T58" s="22"/>
      <c r="U58" s="1"/>
      <c r="V58" s="1"/>
      <c r="W58" s="23"/>
      <c r="X58" s="23"/>
      <c r="Y58" s="1"/>
      <c r="Z58" s="19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5" t="str">
        <f aca="false">IF(COUNTIF(AJ58:AT58,"Yes")=COLUMNS(AJ58:AT58),"Yes","No")</f>
        <v>No</v>
      </c>
      <c r="AV58" s="1"/>
      <c r="AW58" s="1"/>
      <c r="AX58" s="1"/>
      <c r="AY58" s="1"/>
    </row>
    <row r="59" customFormat="false" ht="14.25" hidden="false" customHeight="false" outlineLevel="0" collapsed="false">
      <c r="A59" s="5" t="n">
        <f aca="false">ROW()-1</f>
        <v>58</v>
      </c>
      <c r="J59" s="1"/>
      <c r="K59" s="12" t="str">
        <f aca="false">IFERROR(VLOOKUP(J59,Lists!$I$1:$J$21,2,FALSE()),"")</f>
        <v/>
      </c>
      <c r="L59" s="1"/>
      <c r="M59" s="1"/>
      <c r="N59" s="1"/>
      <c r="O59" s="1"/>
      <c r="P59" s="1"/>
      <c r="Q59" s="1"/>
      <c r="R59" s="1"/>
      <c r="S59" s="22"/>
      <c r="T59" s="22"/>
      <c r="U59" s="1"/>
      <c r="V59" s="1"/>
      <c r="W59" s="23"/>
      <c r="X59" s="23"/>
      <c r="Y59" s="1"/>
      <c r="Z59" s="19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5" t="str">
        <f aca="false">IF(COUNTIF(AJ59:AT59,"Yes")=COLUMNS(AJ59:AT59),"Yes","No")</f>
        <v>No</v>
      </c>
      <c r="AV59" s="1"/>
      <c r="AW59" s="1"/>
      <c r="AX59" s="1"/>
      <c r="AY59" s="1"/>
    </row>
    <row r="60" customFormat="false" ht="14.25" hidden="false" customHeight="false" outlineLevel="0" collapsed="false">
      <c r="A60" s="5" t="n">
        <f aca="false">ROW()-1</f>
        <v>59</v>
      </c>
      <c r="J60" s="1"/>
      <c r="K60" s="12" t="str">
        <f aca="false">IFERROR(VLOOKUP(J60,Lists!$I$1:$J$21,2,FALSE()),"")</f>
        <v/>
      </c>
      <c r="L60" s="1"/>
      <c r="M60" s="1"/>
      <c r="N60" s="1"/>
      <c r="O60" s="1"/>
      <c r="P60" s="1"/>
      <c r="Q60" s="1"/>
      <c r="R60" s="1"/>
      <c r="S60" s="22"/>
      <c r="T60" s="22"/>
      <c r="U60" s="1"/>
      <c r="V60" s="1"/>
      <c r="W60" s="23"/>
      <c r="X60" s="23"/>
      <c r="Y60" s="1"/>
      <c r="Z60" s="19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5" t="str">
        <f aca="false">IF(COUNTIF(AJ60:AT60,"Yes")=COLUMNS(AJ60:AT60),"Yes","No")</f>
        <v>No</v>
      </c>
      <c r="AV60" s="1"/>
      <c r="AW60" s="1"/>
      <c r="AX60" s="1"/>
      <c r="AY60" s="1"/>
    </row>
    <row r="61" customFormat="false" ht="14.25" hidden="false" customHeight="false" outlineLevel="0" collapsed="false">
      <c r="A61" s="5" t="n">
        <f aca="false">ROW()-1</f>
        <v>60</v>
      </c>
      <c r="J61" s="1"/>
      <c r="K61" s="12" t="str">
        <f aca="false">IFERROR(VLOOKUP(J61,Lists!$I$1:$J$21,2,FALSE()),"")</f>
        <v/>
      </c>
      <c r="L61" s="1"/>
      <c r="M61" s="1"/>
      <c r="N61" s="1"/>
      <c r="O61" s="1"/>
      <c r="P61" s="1"/>
      <c r="Q61" s="1"/>
      <c r="R61" s="1"/>
      <c r="S61" s="22"/>
      <c r="T61" s="22"/>
      <c r="U61" s="1"/>
      <c r="V61" s="1"/>
      <c r="W61" s="23"/>
      <c r="X61" s="23"/>
      <c r="Y61" s="1"/>
      <c r="Z61" s="19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5" t="str">
        <f aca="false">IF(COUNTIF(AJ61:AT61,"Yes")=COLUMNS(AJ61:AT61),"Yes","No")</f>
        <v>No</v>
      </c>
      <c r="AV61" s="1"/>
      <c r="AW61" s="1"/>
      <c r="AX61" s="1"/>
      <c r="AY61" s="1"/>
    </row>
    <row r="62" customFormat="false" ht="14.25" hidden="false" customHeight="false" outlineLevel="0" collapsed="false">
      <c r="A62" s="5" t="n">
        <f aca="false">ROW()-1</f>
        <v>61</v>
      </c>
      <c r="J62" s="1"/>
      <c r="K62" s="12" t="str">
        <f aca="false">IFERROR(VLOOKUP(J62,Lists!$I$1:$J$21,2,FALSE()),"")</f>
        <v/>
      </c>
      <c r="L62" s="1"/>
      <c r="M62" s="1"/>
      <c r="N62" s="1"/>
      <c r="O62" s="1"/>
      <c r="P62" s="1"/>
      <c r="Q62" s="1"/>
      <c r="R62" s="1"/>
      <c r="S62" s="22"/>
      <c r="T62" s="22"/>
      <c r="U62" s="1"/>
      <c r="V62" s="1"/>
      <c r="W62" s="23"/>
      <c r="X62" s="23"/>
      <c r="Y62" s="1"/>
      <c r="Z62" s="19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5" t="str">
        <f aca="false">IF(COUNTIF(AJ62:AT62,"Yes")=COLUMNS(AJ62:AT62),"Yes","No")</f>
        <v>No</v>
      </c>
      <c r="AV62" s="1"/>
      <c r="AW62" s="1"/>
      <c r="AX62" s="1"/>
      <c r="AY62" s="1"/>
    </row>
    <row r="63" customFormat="false" ht="14.25" hidden="false" customHeight="false" outlineLevel="0" collapsed="false">
      <c r="A63" s="5" t="n">
        <f aca="false">ROW()-1</f>
        <v>62</v>
      </c>
      <c r="J63" s="1"/>
      <c r="K63" s="12" t="str">
        <f aca="false">IFERROR(VLOOKUP(J63,Lists!$I$1:$J$21,2,FALSE()),"")</f>
        <v/>
      </c>
      <c r="L63" s="1"/>
      <c r="M63" s="1"/>
      <c r="N63" s="1"/>
      <c r="O63" s="1"/>
      <c r="P63" s="1"/>
      <c r="Q63" s="1"/>
      <c r="R63" s="1"/>
      <c r="S63" s="22"/>
      <c r="T63" s="22"/>
      <c r="U63" s="1"/>
      <c r="V63" s="1"/>
      <c r="W63" s="23"/>
      <c r="X63" s="23"/>
      <c r="Y63" s="1"/>
      <c r="Z63" s="19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5" t="str">
        <f aca="false">IF(COUNTIF(AJ63:AT63,"Yes")=COLUMNS(AJ63:AT63),"Yes","No")</f>
        <v>No</v>
      </c>
      <c r="AV63" s="1"/>
      <c r="AW63" s="1"/>
      <c r="AX63" s="1"/>
      <c r="AY63" s="1"/>
    </row>
    <row r="64" customFormat="false" ht="14.25" hidden="false" customHeight="false" outlineLevel="0" collapsed="false">
      <c r="A64" s="5" t="n">
        <f aca="false">ROW()-1</f>
        <v>63</v>
      </c>
      <c r="J64" s="1"/>
      <c r="K64" s="12" t="str">
        <f aca="false">IFERROR(VLOOKUP(J64,Lists!$I$1:$J$21,2,FALSE()),"")</f>
        <v/>
      </c>
      <c r="L64" s="1"/>
      <c r="M64" s="1"/>
      <c r="N64" s="1"/>
      <c r="O64" s="1"/>
      <c r="P64" s="1"/>
      <c r="Q64" s="1"/>
      <c r="R64" s="1"/>
      <c r="S64" s="22"/>
      <c r="T64" s="22"/>
      <c r="U64" s="1"/>
      <c r="V64" s="1"/>
      <c r="W64" s="23"/>
      <c r="X64" s="23"/>
      <c r="Y64" s="1"/>
      <c r="Z64" s="19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5" t="str">
        <f aca="false">IF(COUNTIF(AJ64:AT64,"Yes")=COLUMNS(AJ64:AT64),"Yes","No")</f>
        <v>No</v>
      </c>
      <c r="AV64" s="1"/>
      <c r="AW64" s="1"/>
      <c r="AX64" s="1"/>
      <c r="AY64" s="1"/>
    </row>
    <row r="65" customFormat="false" ht="14.25" hidden="false" customHeight="false" outlineLevel="0" collapsed="false">
      <c r="A65" s="5" t="n">
        <f aca="false">ROW()-1</f>
        <v>64</v>
      </c>
      <c r="J65" s="1"/>
      <c r="K65" s="12" t="str">
        <f aca="false">IFERROR(VLOOKUP(J65,Lists!$I$1:$J$21,2,FALSE()),"")</f>
        <v/>
      </c>
      <c r="L65" s="1"/>
      <c r="M65" s="1"/>
      <c r="N65" s="1"/>
      <c r="O65" s="1"/>
      <c r="P65" s="1"/>
      <c r="Q65" s="1"/>
      <c r="R65" s="1"/>
      <c r="S65" s="22"/>
      <c r="T65" s="22"/>
      <c r="U65" s="1"/>
      <c r="V65" s="1"/>
      <c r="W65" s="23"/>
      <c r="X65" s="23"/>
      <c r="Y65" s="1"/>
      <c r="Z65" s="19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5" t="str">
        <f aca="false">IF(COUNTIF(AJ65:AT65,"Yes")=COLUMNS(AJ65:AT65),"Yes","No")</f>
        <v>No</v>
      </c>
      <c r="AV65" s="1"/>
      <c r="AW65" s="1"/>
      <c r="AX65" s="1"/>
      <c r="AY65" s="1"/>
    </row>
    <row r="66" customFormat="false" ht="14.25" hidden="false" customHeight="false" outlineLevel="0" collapsed="false">
      <c r="A66" s="5" t="n">
        <f aca="false">ROW()-1</f>
        <v>65</v>
      </c>
      <c r="J66" s="1"/>
      <c r="K66" s="12" t="str">
        <f aca="false">IFERROR(VLOOKUP(J66,Lists!$I$1:$J$21,2,FALSE()),"")</f>
        <v/>
      </c>
      <c r="L66" s="1"/>
      <c r="M66" s="1"/>
      <c r="N66" s="1"/>
      <c r="O66" s="1"/>
      <c r="P66" s="1"/>
      <c r="Q66" s="1"/>
      <c r="R66" s="1"/>
      <c r="S66" s="22"/>
      <c r="T66" s="22"/>
      <c r="U66" s="1"/>
      <c r="V66" s="1"/>
      <c r="W66" s="23"/>
      <c r="X66" s="23"/>
      <c r="Y66" s="1"/>
      <c r="Z66" s="19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5" t="str">
        <f aca="false">IF(COUNTIF(AJ66:AT66,"Yes")=COLUMNS(AJ66:AT66),"Yes","No")</f>
        <v>No</v>
      </c>
      <c r="AV66" s="1"/>
      <c r="AW66" s="1"/>
      <c r="AX66" s="1"/>
      <c r="AY66" s="1"/>
    </row>
    <row r="67" customFormat="false" ht="14.25" hidden="false" customHeight="false" outlineLevel="0" collapsed="false">
      <c r="A67" s="5" t="n">
        <f aca="false">ROW()-1</f>
        <v>66</v>
      </c>
      <c r="J67" s="1"/>
      <c r="K67" s="12" t="str">
        <f aca="false">IFERROR(VLOOKUP(J67,Lists!$I$1:$J$21,2,FALSE()),"")</f>
        <v/>
      </c>
      <c r="L67" s="1"/>
      <c r="M67" s="1"/>
      <c r="N67" s="1"/>
      <c r="O67" s="1"/>
      <c r="P67" s="1"/>
      <c r="Q67" s="1"/>
      <c r="R67" s="1"/>
      <c r="S67" s="22"/>
      <c r="T67" s="22"/>
      <c r="U67" s="1"/>
      <c r="V67" s="1"/>
      <c r="W67" s="23"/>
      <c r="X67" s="23"/>
      <c r="Y67" s="1"/>
      <c r="Z67" s="19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5" t="str">
        <f aca="false">IF(COUNTIF(AJ67:AT67,"Yes")=COLUMNS(AJ67:AT67),"Yes","No")</f>
        <v>No</v>
      </c>
      <c r="AV67" s="1"/>
      <c r="AW67" s="1"/>
      <c r="AX67" s="1"/>
      <c r="AY67" s="1"/>
    </row>
    <row r="68" customFormat="false" ht="14.25" hidden="false" customHeight="false" outlineLevel="0" collapsed="false">
      <c r="A68" s="5" t="n">
        <f aca="false">ROW()-1</f>
        <v>67</v>
      </c>
      <c r="J68" s="1"/>
      <c r="K68" s="12" t="str">
        <f aca="false">IFERROR(VLOOKUP(J68,Lists!$I$1:$J$21,2,FALSE()),"")</f>
        <v/>
      </c>
      <c r="L68" s="1"/>
      <c r="M68" s="1"/>
      <c r="N68" s="1"/>
      <c r="O68" s="1"/>
      <c r="P68" s="1"/>
      <c r="Q68" s="1"/>
      <c r="R68" s="1"/>
      <c r="S68" s="22"/>
      <c r="T68" s="22"/>
      <c r="U68" s="1"/>
      <c r="V68" s="1"/>
      <c r="W68" s="23"/>
      <c r="X68" s="23"/>
      <c r="Y68" s="1"/>
      <c r="Z68" s="19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5" t="str">
        <f aca="false">IF(COUNTIF(AJ68:AT68,"Yes")=COLUMNS(AJ68:AT68),"Yes","No")</f>
        <v>No</v>
      </c>
      <c r="AV68" s="1"/>
      <c r="AW68" s="1"/>
      <c r="AX68" s="1"/>
      <c r="AY68" s="1"/>
    </row>
    <row r="69" customFormat="false" ht="14.25" hidden="false" customHeight="false" outlineLevel="0" collapsed="false">
      <c r="A69" s="5" t="n">
        <f aca="false">ROW()-1</f>
        <v>68</v>
      </c>
      <c r="J69" s="1"/>
      <c r="K69" s="12" t="str">
        <f aca="false">IFERROR(VLOOKUP(J69,Lists!$I$1:$J$21,2,FALSE()),"")</f>
        <v/>
      </c>
      <c r="L69" s="1"/>
      <c r="M69" s="1"/>
      <c r="N69" s="1"/>
      <c r="O69" s="1"/>
      <c r="P69" s="1"/>
      <c r="Q69" s="1"/>
      <c r="R69" s="1"/>
      <c r="S69" s="22"/>
      <c r="T69" s="22"/>
      <c r="U69" s="1"/>
      <c r="V69" s="1"/>
      <c r="W69" s="23"/>
      <c r="X69" s="23"/>
      <c r="Y69" s="1"/>
      <c r="Z69" s="19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5" t="str">
        <f aca="false">IF(COUNTIF(AJ69:AT69,"Yes")=COLUMNS(AJ69:AT69),"Yes","No")</f>
        <v>No</v>
      </c>
      <c r="AV69" s="1"/>
      <c r="AW69" s="1"/>
      <c r="AX69" s="1"/>
      <c r="AY69" s="1"/>
    </row>
    <row r="70" customFormat="false" ht="14.25" hidden="false" customHeight="false" outlineLevel="0" collapsed="false">
      <c r="A70" s="5" t="n">
        <f aca="false">ROW()-1</f>
        <v>69</v>
      </c>
      <c r="J70" s="1"/>
      <c r="K70" s="12" t="str">
        <f aca="false">IFERROR(VLOOKUP(J70,Lists!$I$1:$J$21,2,FALSE()),"")</f>
        <v/>
      </c>
      <c r="L70" s="1"/>
      <c r="M70" s="1"/>
      <c r="N70" s="1"/>
      <c r="O70" s="1"/>
      <c r="P70" s="1"/>
      <c r="Q70" s="1"/>
      <c r="R70" s="1"/>
      <c r="S70" s="22"/>
      <c r="T70" s="22"/>
      <c r="U70" s="1"/>
      <c r="V70" s="1"/>
      <c r="W70" s="23"/>
      <c r="X70" s="23"/>
      <c r="Y70" s="1"/>
      <c r="Z70" s="19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5" t="str">
        <f aca="false">IF(COUNTIF(AJ70:AT70,"Yes")=COLUMNS(AJ70:AT70),"Yes","No")</f>
        <v>No</v>
      </c>
      <c r="AV70" s="1"/>
      <c r="AW70" s="1"/>
      <c r="AX70" s="1"/>
      <c r="AY70" s="1"/>
    </row>
    <row r="71" customFormat="false" ht="14.25" hidden="false" customHeight="false" outlineLevel="0" collapsed="false">
      <c r="A71" s="5" t="n">
        <f aca="false">ROW()-1</f>
        <v>70</v>
      </c>
      <c r="J71" s="1"/>
      <c r="K71" s="12" t="str">
        <f aca="false">IFERROR(VLOOKUP(J71,Lists!$I$1:$J$21,2,FALSE()),"")</f>
        <v/>
      </c>
      <c r="L71" s="1"/>
      <c r="M71" s="1"/>
      <c r="N71" s="1"/>
      <c r="O71" s="1"/>
      <c r="P71" s="1"/>
      <c r="Q71" s="1"/>
      <c r="R71" s="1"/>
      <c r="S71" s="22"/>
      <c r="T71" s="22"/>
      <c r="U71" s="1"/>
      <c r="V71" s="1"/>
      <c r="W71" s="23"/>
      <c r="X71" s="23"/>
      <c r="Y71" s="1"/>
      <c r="Z71" s="19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5" t="str">
        <f aca="false">IF(COUNTIF(AJ71:AT71,"Yes")=COLUMNS(AJ71:AT71),"Yes","No")</f>
        <v>No</v>
      </c>
      <c r="AV71" s="1"/>
      <c r="AW71" s="1"/>
      <c r="AX71" s="1"/>
      <c r="AY71" s="1"/>
    </row>
    <row r="72" customFormat="false" ht="14.25" hidden="false" customHeight="false" outlineLevel="0" collapsed="false">
      <c r="A72" s="5" t="n">
        <f aca="false">ROW()-1</f>
        <v>71</v>
      </c>
      <c r="J72" s="1"/>
      <c r="K72" s="12" t="str">
        <f aca="false">IFERROR(VLOOKUP(J72,Lists!$I$1:$J$21,2,FALSE()),"")</f>
        <v/>
      </c>
      <c r="L72" s="1"/>
      <c r="M72" s="1"/>
      <c r="N72" s="1"/>
      <c r="O72" s="1"/>
      <c r="P72" s="1"/>
      <c r="Q72" s="1"/>
      <c r="R72" s="1"/>
      <c r="S72" s="22"/>
      <c r="T72" s="22"/>
      <c r="U72" s="1"/>
      <c r="V72" s="1"/>
      <c r="W72" s="23"/>
      <c r="X72" s="23"/>
      <c r="Y72" s="1"/>
      <c r="Z72" s="19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5" t="str">
        <f aca="false">IF(COUNTIF(AJ72:AT72,"Yes")=COLUMNS(AJ72:AT72),"Yes","No")</f>
        <v>No</v>
      </c>
      <c r="AV72" s="1"/>
      <c r="AW72" s="1"/>
      <c r="AX72" s="1"/>
      <c r="AY72" s="1"/>
    </row>
    <row r="73" customFormat="false" ht="14.25" hidden="false" customHeight="false" outlineLevel="0" collapsed="false">
      <c r="A73" s="5" t="n">
        <f aca="false">ROW()-1</f>
        <v>72</v>
      </c>
      <c r="J73" s="1"/>
      <c r="K73" s="12" t="str">
        <f aca="false">IFERROR(VLOOKUP(J73,Lists!$I$1:$J$21,2,FALSE()),"")</f>
        <v/>
      </c>
      <c r="L73" s="1"/>
      <c r="M73" s="1"/>
      <c r="N73" s="1"/>
      <c r="O73" s="1"/>
      <c r="P73" s="1"/>
      <c r="Q73" s="1"/>
      <c r="R73" s="1"/>
      <c r="S73" s="22"/>
      <c r="T73" s="22"/>
      <c r="U73" s="1"/>
      <c r="V73" s="1"/>
      <c r="W73" s="23"/>
      <c r="X73" s="23"/>
      <c r="Y73" s="1"/>
      <c r="Z73" s="19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5" t="str">
        <f aca="false">IF(COUNTIF(AJ73:AT73,"Yes")=COLUMNS(AJ73:AT73),"Yes","No")</f>
        <v>No</v>
      </c>
      <c r="AV73" s="1"/>
      <c r="AW73" s="1"/>
      <c r="AX73" s="1"/>
      <c r="AY73" s="1"/>
    </row>
    <row r="74" customFormat="false" ht="14.25" hidden="false" customHeight="false" outlineLevel="0" collapsed="false">
      <c r="A74" s="5" t="n">
        <f aca="false">ROW()-1</f>
        <v>73</v>
      </c>
      <c r="J74" s="1"/>
      <c r="K74" s="12" t="str">
        <f aca="false">IFERROR(VLOOKUP(J74,Lists!$I$1:$J$21,2,FALSE()),"")</f>
        <v/>
      </c>
      <c r="L74" s="1"/>
      <c r="M74" s="1"/>
      <c r="N74" s="1"/>
      <c r="O74" s="1"/>
      <c r="P74" s="1"/>
      <c r="Q74" s="1"/>
      <c r="R74" s="1"/>
      <c r="S74" s="22"/>
      <c r="T74" s="22"/>
      <c r="U74" s="1"/>
      <c r="V74" s="1"/>
      <c r="W74" s="23"/>
      <c r="X74" s="23"/>
      <c r="Y74" s="1"/>
      <c r="Z74" s="19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5" t="str">
        <f aca="false">IF(COUNTIF(AJ74:AT74,"Yes")=COLUMNS(AJ74:AT74),"Yes","No")</f>
        <v>No</v>
      </c>
      <c r="AV74" s="1"/>
      <c r="AW74" s="1"/>
      <c r="AX74" s="1"/>
      <c r="AY74" s="1"/>
    </row>
    <row r="75" customFormat="false" ht="14.25" hidden="false" customHeight="false" outlineLevel="0" collapsed="false">
      <c r="A75" s="5" t="n">
        <f aca="false">ROW()-1</f>
        <v>74</v>
      </c>
      <c r="J75" s="1"/>
      <c r="K75" s="12" t="str">
        <f aca="false">IFERROR(VLOOKUP(J75,Lists!$I$1:$J$21,2,FALSE()),"")</f>
        <v/>
      </c>
      <c r="L75" s="1"/>
      <c r="M75" s="1"/>
      <c r="N75" s="1"/>
      <c r="O75" s="1"/>
      <c r="P75" s="1"/>
      <c r="Q75" s="1"/>
      <c r="R75" s="1"/>
      <c r="S75" s="22"/>
      <c r="T75" s="22"/>
      <c r="U75" s="1"/>
      <c r="V75" s="1"/>
      <c r="W75" s="23"/>
      <c r="X75" s="23"/>
      <c r="Y75" s="1"/>
      <c r="Z75" s="19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5" t="str">
        <f aca="false">IF(COUNTIF(AJ75:AT75,"Yes")=COLUMNS(AJ75:AT75),"Yes","No")</f>
        <v>No</v>
      </c>
      <c r="AV75" s="1"/>
      <c r="AW75" s="1"/>
      <c r="AX75" s="1"/>
      <c r="AY75" s="1"/>
    </row>
    <row r="76" customFormat="false" ht="14.25" hidden="false" customHeight="false" outlineLevel="0" collapsed="false">
      <c r="A76" s="5" t="n">
        <f aca="false">ROW()-1</f>
        <v>75</v>
      </c>
      <c r="J76" s="1"/>
      <c r="K76" s="12" t="str">
        <f aca="false">IFERROR(VLOOKUP(J76,Lists!$I$1:$J$21,2,FALSE()),"")</f>
        <v/>
      </c>
      <c r="L76" s="1"/>
      <c r="M76" s="1"/>
      <c r="N76" s="1"/>
      <c r="O76" s="1"/>
      <c r="P76" s="1"/>
      <c r="Q76" s="1"/>
      <c r="R76" s="1"/>
      <c r="S76" s="22"/>
      <c r="T76" s="22"/>
      <c r="U76" s="1"/>
      <c r="V76" s="1"/>
      <c r="W76" s="23"/>
      <c r="X76" s="23"/>
      <c r="Y76" s="1"/>
      <c r="Z76" s="19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5" t="str">
        <f aca="false">IF(COUNTIF(AJ76:AT76,"Yes")=COLUMNS(AJ76:AT76),"Yes","No")</f>
        <v>No</v>
      </c>
      <c r="AV76" s="1"/>
      <c r="AW76" s="1"/>
      <c r="AX76" s="1"/>
      <c r="AY76" s="1"/>
    </row>
    <row r="77" customFormat="false" ht="14.25" hidden="false" customHeight="false" outlineLevel="0" collapsed="false">
      <c r="A77" s="5" t="n">
        <f aca="false">ROW()-1</f>
        <v>76</v>
      </c>
      <c r="J77" s="1"/>
      <c r="K77" s="12" t="str">
        <f aca="false">IFERROR(VLOOKUP(J77,Lists!$I$1:$J$21,2,FALSE()),"")</f>
        <v/>
      </c>
      <c r="L77" s="1"/>
      <c r="M77" s="1"/>
      <c r="N77" s="1"/>
      <c r="O77" s="1"/>
      <c r="P77" s="1"/>
      <c r="Q77" s="1"/>
      <c r="R77" s="1"/>
      <c r="S77" s="22"/>
      <c r="T77" s="22"/>
      <c r="U77" s="1"/>
      <c r="V77" s="1"/>
      <c r="W77" s="23"/>
      <c r="X77" s="23"/>
      <c r="Y77" s="1"/>
      <c r="Z77" s="19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5" t="str">
        <f aca="false">IF(COUNTIF(AJ77:AT77,"Yes")=COLUMNS(AJ77:AT77),"Yes","No")</f>
        <v>No</v>
      </c>
      <c r="AV77" s="1"/>
      <c r="AW77" s="1"/>
      <c r="AX77" s="1"/>
      <c r="AY77" s="1"/>
    </row>
    <row r="78" customFormat="false" ht="14.25" hidden="false" customHeight="false" outlineLevel="0" collapsed="false">
      <c r="A78" s="5" t="n">
        <f aca="false">ROW()-1</f>
        <v>77</v>
      </c>
      <c r="J78" s="1"/>
      <c r="K78" s="12" t="str">
        <f aca="false">IFERROR(VLOOKUP(J78,Lists!$I$1:$J$21,2,FALSE()),"")</f>
        <v/>
      </c>
      <c r="L78" s="1"/>
      <c r="M78" s="1"/>
      <c r="N78" s="1"/>
      <c r="O78" s="1"/>
      <c r="P78" s="1"/>
      <c r="Q78" s="1"/>
      <c r="R78" s="1"/>
      <c r="S78" s="22"/>
      <c r="T78" s="22"/>
      <c r="U78" s="1"/>
      <c r="V78" s="1"/>
      <c r="W78" s="23"/>
      <c r="X78" s="23"/>
      <c r="Y78" s="1"/>
      <c r="Z78" s="19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5" t="str">
        <f aca="false">IF(COUNTIF(AJ78:AT78,"Yes")=COLUMNS(AJ78:AT78),"Yes","No")</f>
        <v>No</v>
      </c>
      <c r="AV78" s="1"/>
      <c r="AW78" s="1"/>
      <c r="AX78" s="1"/>
      <c r="AY78" s="1"/>
    </row>
    <row r="79" customFormat="false" ht="14.25" hidden="false" customHeight="false" outlineLevel="0" collapsed="false">
      <c r="A79" s="5" t="n">
        <f aca="false">ROW()-1</f>
        <v>78</v>
      </c>
      <c r="J79" s="1"/>
      <c r="K79" s="12" t="str">
        <f aca="false">IFERROR(VLOOKUP(J79,Lists!$I$1:$J$21,2,FALSE()),"")</f>
        <v/>
      </c>
      <c r="L79" s="1"/>
      <c r="M79" s="1"/>
      <c r="N79" s="1"/>
      <c r="O79" s="1"/>
      <c r="P79" s="1"/>
      <c r="Q79" s="1"/>
      <c r="R79" s="1"/>
      <c r="S79" s="22"/>
      <c r="T79" s="22"/>
      <c r="U79" s="1"/>
      <c r="V79" s="1"/>
      <c r="W79" s="23"/>
      <c r="X79" s="23"/>
      <c r="Y79" s="1"/>
      <c r="Z79" s="19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5" t="str">
        <f aca="false">IF(COUNTIF(AJ79:AT79,"Yes")=COLUMNS(AJ79:AT79),"Yes","No")</f>
        <v>No</v>
      </c>
      <c r="AV79" s="1"/>
      <c r="AW79" s="1"/>
      <c r="AX79" s="1"/>
      <c r="AY79" s="1"/>
    </row>
    <row r="80" customFormat="false" ht="14.25" hidden="false" customHeight="false" outlineLevel="0" collapsed="false">
      <c r="A80" s="5" t="n">
        <f aca="false">ROW()-1</f>
        <v>79</v>
      </c>
      <c r="J80" s="1"/>
      <c r="K80" s="12" t="str">
        <f aca="false">IFERROR(VLOOKUP(J80,Lists!$I$1:$J$21,2,FALSE()),"")</f>
        <v/>
      </c>
      <c r="L80" s="1"/>
      <c r="M80" s="1"/>
      <c r="N80" s="1"/>
      <c r="O80" s="1"/>
      <c r="P80" s="1"/>
      <c r="Q80" s="1"/>
      <c r="R80" s="1"/>
      <c r="S80" s="22"/>
      <c r="T80" s="22"/>
      <c r="U80" s="1"/>
      <c r="V80" s="1"/>
      <c r="W80" s="23"/>
      <c r="X80" s="23"/>
      <c r="Y80" s="1"/>
      <c r="Z80" s="19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5" t="str">
        <f aca="false">IF(COUNTIF(AJ80:AT80,"Yes")=COLUMNS(AJ80:AT80),"Yes","No")</f>
        <v>No</v>
      </c>
      <c r="AV80" s="1"/>
      <c r="AW80" s="1"/>
      <c r="AX80" s="1"/>
      <c r="AY80" s="1"/>
    </row>
    <row r="81" customFormat="false" ht="14.25" hidden="false" customHeight="false" outlineLevel="0" collapsed="false">
      <c r="A81" s="5" t="n">
        <f aca="false">ROW()-1</f>
        <v>80</v>
      </c>
      <c r="J81" s="1"/>
      <c r="K81" s="12" t="str">
        <f aca="false">IFERROR(VLOOKUP(J81,Lists!$I$1:$J$21,2,FALSE()),"")</f>
        <v/>
      </c>
      <c r="L81" s="1"/>
      <c r="M81" s="1"/>
      <c r="N81" s="1"/>
      <c r="O81" s="1"/>
      <c r="P81" s="1"/>
      <c r="Q81" s="1"/>
      <c r="R81" s="1"/>
      <c r="S81" s="22"/>
      <c r="T81" s="22"/>
      <c r="U81" s="1"/>
      <c r="V81" s="1"/>
      <c r="W81" s="23"/>
      <c r="X81" s="23"/>
      <c r="Y81" s="1"/>
      <c r="Z81" s="19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5" t="str">
        <f aca="false">IF(COUNTIF(AJ81:AT81,"Yes")=COLUMNS(AJ81:AT81),"Yes","No")</f>
        <v>No</v>
      </c>
      <c r="AV81" s="1"/>
      <c r="AW81" s="1"/>
      <c r="AX81" s="1"/>
      <c r="AY81" s="1"/>
    </row>
    <row r="82" customFormat="false" ht="14.25" hidden="false" customHeight="false" outlineLevel="0" collapsed="false">
      <c r="A82" s="5" t="n">
        <f aca="false">ROW()-1</f>
        <v>81</v>
      </c>
      <c r="J82" s="1"/>
      <c r="K82" s="12" t="str">
        <f aca="false">IFERROR(VLOOKUP(J82,Lists!$I$1:$J$21,2,FALSE()),"")</f>
        <v/>
      </c>
      <c r="L82" s="1"/>
      <c r="M82" s="1"/>
      <c r="N82" s="1"/>
      <c r="O82" s="1"/>
      <c r="P82" s="1"/>
      <c r="Q82" s="1"/>
      <c r="R82" s="1"/>
      <c r="S82" s="22"/>
      <c r="T82" s="22"/>
      <c r="U82" s="1"/>
      <c r="V82" s="1"/>
      <c r="W82" s="23"/>
      <c r="X82" s="23"/>
      <c r="Y82" s="1"/>
      <c r="Z82" s="19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5" t="str">
        <f aca="false">IF(COUNTIF(AJ82:AT82,"Yes")=COLUMNS(AJ82:AT82),"Yes","No")</f>
        <v>No</v>
      </c>
      <c r="AV82" s="1"/>
      <c r="AW82" s="1"/>
      <c r="AX82" s="1"/>
      <c r="AY82" s="1"/>
    </row>
    <row r="83" customFormat="false" ht="14.25" hidden="false" customHeight="false" outlineLevel="0" collapsed="false">
      <c r="A83" s="5" t="n">
        <f aca="false">ROW()-1</f>
        <v>82</v>
      </c>
      <c r="J83" s="1"/>
      <c r="K83" s="12" t="str">
        <f aca="false">IFERROR(VLOOKUP(J83,Lists!$I$1:$J$21,2,FALSE()),"")</f>
        <v/>
      </c>
      <c r="L83" s="1"/>
      <c r="M83" s="1"/>
      <c r="N83" s="1"/>
      <c r="O83" s="1"/>
      <c r="P83" s="1"/>
      <c r="Q83" s="1"/>
      <c r="R83" s="1"/>
      <c r="S83" s="22"/>
      <c r="T83" s="22"/>
      <c r="U83" s="1"/>
      <c r="V83" s="1"/>
      <c r="W83" s="23"/>
      <c r="X83" s="23"/>
      <c r="Y83" s="1"/>
      <c r="Z83" s="19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5" t="str">
        <f aca="false">IF(COUNTIF(AJ83:AT83,"Yes")=COLUMNS(AJ83:AT83),"Yes","No")</f>
        <v>No</v>
      </c>
      <c r="AV83" s="1"/>
      <c r="AW83" s="1"/>
      <c r="AX83" s="1"/>
      <c r="AY83" s="1"/>
    </row>
    <row r="84" customFormat="false" ht="14.25" hidden="false" customHeight="false" outlineLevel="0" collapsed="false">
      <c r="A84" s="5" t="n">
        <f aca="false">ROW()-1</f>
        <v>83</v>
      </c>
      <c r="J84" s="1"/>
      <c r="K84" s="12" t="str">
        <f aca="false">IFERROR(VLOOKUP(J84,Lists!$I$1:$J$21,2,FALSE()),"")</f>
        <v/>
      </c>
      <c r="L84" s="1"/>
      <c r="M84" s="1"/>
      <c r="N84" s="1"/>
      <c r="O84" s="1"/>
      <c r="P84" s="1"/>
      <c r="Q84" s="1"/>
      <c r="R84" s="1"/>
      <c r="S84" s="22"/>
      <c r="T84" s="22"/>
      <c r="U84" s="1"/>
      <c r="V84" s="1"/>
      <c r="W84" s="23"/>
      <c r="X84" s="23"/>
      <c r="Y84" s="1"/>
      <c r="Z84" s="19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5" t="str">
        <f aca="false">IF(COUNTIF(AJ84:AT84,"Yes")=COLUMNS(AJ84:AT84),"Yes","No")</f>
        <v>No</v>
      </c>
      <c r="AV84" s="1"/>
      <c r="AW84" s="1"/>
      <c r="AX84" s="1"/>
      <c r="AY84" s="1"/>
    </row>
    <row r="85" customFormat="false" ht="14.25" hidden="false" customHeight="false" outlineLevel="0" collapsed="false">
      <c r="A85" s="5" t="n">
        <f aca="false">ROW()-1</f>
        <v>84</v>
      </c>
      <c r="J85" s="1"/>
      <c r="K85" s="12" t="str">
        <f aca="false">IFERROR(VLOOKUP(J85,Lists!$I$1:$J$21,2,FALSE()),"")</f>
        <v/>
      </c>
      <c r="L85" s="1"/>
      <c r="M85" s="1"/>
      <c r="N85" s="1"/>
      <c r="O85" s="1"/>
      <c r="P85" s="1"/>
      <c r="Q85" s="1"/>
      <c r="R85" s="1"/>
      <c r="S85" s="22"/>
      <c r="T85" s="22"/>
      <c r="U85" s="1"/>
      <c r="V85" s="1"/>
      <c r="W85" s="23"/>
      <c r="X85" s="23"/>
      <c r="Y85" s="1"/>
      <c r="Z85" s="19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5" t="str">
        <f aca="false">IF(COUNTIF(AJ85:AT85,"Yes")=COLUMNS(AJ85:AT85),"Yes","No")</f>
        <v>No</v>
      </c>
      <c r="AV85" s="1"/>
      <c r="AW85" s="1"/>
      <c r="AX85" s="1"/>
      <c r="AY85" s="1"/>
    </row>
    <row r="86" customFormat="false" ht="14.25" hidden="false" customHeight="false" outlineLevel="0" collapsed="false">
      <c r="A86" s="5" t="n">
        <f aca="false">ROW()-1</f>
        <v>85</v>
      </c>
      <c r="J86" s="1"/>
      <c r="K86" s="12" t="str">
        <f aca="false">IFERROR(VLOOKUP(J86,Lists!$I$1:$J$21,2,FALSE()),"")</f>
        <v/>
      </c>
      <c r="L86" s="1"/>
      <c r="M86" s="1"/>
      <c r="N86" s="1"/>
      <c r="O86" s="1"/>
      <c r="P86" s="1"/>
      <c r="Q86" s="1"/>
      <c r="R86" s="1"/>
      <c r="S86" s="22"/>
      <c r="T86" s="22"/>
      <c r="U86" s="1"/>
      <c r="V86" s="1"/>
      <c r="W86" s="23"/>
      <c r="X86" s="23"/>
      <c r="Y86" s="1"/>
      <c r="Z86" s="19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5" t="str">
        <f aca="false">IF(COUNTIF(AJ86:AT86,"Yes")=COLUMNS(AJ86:AT86),"Yes","No")</f>
        <v>No</v>
      </c>
      <c r="AV86" s="1"/>
      <c r="AW86" s="1"/>
      <c r="AX86" s="1"/>
      <c r="AY86" s="1"/>
    </row>
    <row r="87" customFormat="false" ht="14.25" hidden="false" customHeight="false" outlineLevel="0" collapsed="false">
      <c r="A87" s="5" t="n">
        <f aca="false">ROW()-1</f>
        <v>86</v>
      </c>
      <c r="J87" s="1"/>
      <c r="K87" s="12" t="str">
        <f aca="false">IFERROR(VLOOKUP(J87,Lists!$I$1:$J$21,2,FALSE()),"")</f>
        <v/>
      </c>
      <c r="L87" s="1"/>
      <c r="M87" s="1"/>
      <c r="N87" s="1"/>
      <c r="O87" s="1"/>
      <c r="P87" s="1"/>
      <c r="Q87" s="1"/>
      <c r="R87" s="1"/>
      <c r="S87" s="22"/>
      <c r="T87" s="22"/>
      <c r="U87" s="1"/>
      <c r="V87" s="1"/>
      <c r="W87" s="23"/>
      <c r="X87" s="23"/>
      <c r="Y87" s="1"/>
      <c r="Z87" s="19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5" t="str">
        <f aca="false">IF(COUNTIF(AJ87:AT87,"Yes")=COLUMNS(AJ87:AT87),"Yes","No")</f>
        <v>No</v>
      </c>
      <c r="AV87" s="1"/>
      <c r="AW87" s="1"/>
      <c r="AX87" s="1"/>
      <c r="AY87" s="1"/>
    </row>
    <row r="88" customFormat="false" ht="14.25" hidden="false" customHeight="false" outlineLevel="0" collapsed="false">
      <c r="A88" s="5" t="n">
        <f aca="false">ROW()-1</f>
        <v>87</v>
      </c>
      <c r="J88" s="1"/>
      <c r="K88" s="12" t="str">
        <f aca="false">IFERROR(VLOOKUP(J88,Lists!$I$1:$J$21,2,FALSE()),"")</f>
        <v/>
      </c>
      <c r="L88" s="1"/>
      <c r="M88" s="1"/>
      <c r="N88" s="1"/>
      <c r="O88" s="1"/>
      <c r="P88" s="1"/>
      <c r="Q88" s="1"/>
      <c r="R88" s="1"/>
      <c r="S88" s="22"/>
      <c r="T88" s="22"/>
      <c r="U88" s="1"/>
      <c r="V88" s="1"/>
      <c r="W88" s="23"/>
      <c r="X88" s="23"/>
      <c r="Y88" s="1"/>
      <c r="Z88" s="19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5" t="str">
        <f aca="false">IF(COUNTIF(AJ88:AT88,"Yes")=COLUMNS(AJ88:AT88),"Yes","No")</f>
        <v>No</v>
      </c>
      <c r="AV88" s="1"/>
      <c r="AW88" s="1"/>
      <c r="AX88" s="1"/>
      <c r="AY88" s="1"/>
    </row>
    <row r="89" customFormat="false" ht="14.25" hidden="false" customHeight="false" outlineLevel="0" collapsed="false">
      <c r="A89" s="5" t="n">
        <f aca="false">ROW()-1</f>
        <v>88</v>
      </c>
      <c r="J89" s="1"/>
      <c r="K89" s="12" t="str">
        <f aca="false">IFERROR(VLOOKUP(J89,Lists!$I$1:$J$21,2,FALSE()),"")</f>
        <v/>
      </c>
      <c r="L89" s="1"/>
      <c r="M89" s="1"/>
      <c r="N89" s="1"/>
      <c r="O89" s="1"/>
      <c r="P89" s="1"/>
      <c r="Q89" s="1"/>
      <c r="R89" s="1"/>
      <c r="S89" s="22"/>
      <c r="T89" s="22"/>
      <c r="U89" s="1"/>
      <c r="V89" s="1"/>
      <c r="W89" s="23"/>
      <c r="X89" s="23"/>
      <c r="Y89" s="1"/>
      <c r="Z89" s="19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5" t="str">
        <f aca="false">IF(COUNTIF(AJ89:AT89,"Yes")=COLUMNS(AJ89:AT89),"Yes","No")</f>
        <v>No</v>
      </c>
      <c r="AV89" s="1"/>
      <c r="AW89" s="1"/>
      <c r="AX89" s="1"/>
      <c r="AY89" s="1"/>
    </row>
    <row r="90" customFormat="false" ht="14.25" hidden="false" customHeight="false" outlineLevel="0" collapsed="false">
      <c r="A90" s="5" t="n">
        <f aca="false">ROW()-1</f>
        <v>89</v>
      </c>
      <c r="J90" s="1"/>
      <c r="K90" s="12" t="str">
        <f aca="false">IFERROR(VLOOKUP(J90,Lists!$I$1:$J$21,2,FALSE()),"")</f>
        <v/>
      </c>
      <c r="L90" s="1"/>
      <c r="M90" s="1"/>
      <c r="N90" s="1"/>
      <c r="O90" s="1"/>
      <c r="P90" s="1"/>
      <c r="Q90" s="1"/>
      <c r="R90" s="1"/>
      <c r="S90" s="22"/>
      <c r="T90" s="22"/>
      <c r="U90" s="1"/>
      <c r="V90" s="1"/>
      <c r="W90" s="23"/>
      <c r="X90" s="23"/>
      <c r="Y90" s="1"/>
      <c r="Z90" s="19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5" t="str">
        <f aca="false">IF(COUNTIF(AJ90:AT90,"Yes")=COLUMNS(AJ90:AT90),"Yes","No")</f>
        <v>No</v>
      </c>
      <c r="AV90" s="1"/>
      <c r="AW90" s="1"/>
      <c r="AX90" s="1"/>
      <c r="AY90" s="1"/>
    </row>
    <row r="91" customFormat="false" ht="14.25" hidden="false" customHeight="false" outlineLevel="0" collapsed="false">
      <c r="A91" s="5" t="n">
        <f aca="false">ROW()-1</f>
        <v>90</v>
      </c>
      <c r="J91" s="1"/>
      <c r="K91" s="12" t="str">
        <f aca="false">IFERROR(VLOOKUP(J91,Lists!$I$1:$J$21,2,FALSE()),"")</f>
        <v/>
      </c>
      <c r="L91" s="1"/>
      <c r="M91" s="1"/>
      <c r="N91" s="1"/>
      <c r="O91" s="1"/>
      <c r="P91" s="1"/>
      <c r="Q91" s="1"/>
      <c r="R91" s="1"/>
      <c r="S91" s="22"/>
      <c r="T91" s="22"/>
      <c r="U91" s="1"/>
      <c r="V91" s="1"/>
      <c r="W91" s="23"/>
      <c r="X91" s="23"/>
      <c r="Y91" s="1"/>
      <c r="Z91" s="19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5" t="str">
        <f aca="false">IF(COUNTIF(AJ91:AT91,"Yes")=COLUMNS(AJ91:AT91),"Yes","No")</f>
        <v>No</v>
      </c>
      <c r="AV91" s="1"/>
      <c r="AW91" s="1"/>
      <c r="AX91" s="1"/>
      <c r="AY91" s="1"/>
    </row>
    <row r="92" customFormat="false" ht="14.25" hidden="false" customHeight="false" outlineLevel="0" collapsed="false">
      <c r="A92" s="5" t="n">
        <f aca="false">ROW()-1</f>
        <v>91</v>
      </c>
      <c r="J92" s="1"/>
      <c r="K92" s="12" t="str">
        <f aca="false">IFERROR(VLOOKUP(J92,Lists!$I$1:$J$21,2,FALSE()),"")</f>
        <v/>
      </c>
      <c r="L92" s="1"/>
      <c r="M92" s="1"/>
      <c r="N92" s="1"/>
      <c r="O92" s="1"/>
      <c r="P92" s="1"/>
      <c r="Q92" s="1"/>
      <c r="R92" s="1"/>
      <c r="S92" s="22"/>
      <c r="T92" s="22"/>
      <c r="U92" s="1"/>
      <c r="V92" s="1"/>
      <c r="W92" s="23"/>
      <c r="X92" s="23"/>
      <c r="Y92" s="1"/>
      <c r="Z92" s="19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5" t="str">
        <f aca="false">IF(COUNTIF(AJ92:AT92,"Yes")=COLUMNS(AJ92:AT92),"Yes","No")</f>
        <v>No</v>
      </c>
      <c r="AV92" s="1"/>
      <c r="AW92" s="1"/>
      <c r="AX92" s="1"/>
      <c r="AY92" s="1"/>
    </row>
    <row r="93" customFormat="false" ht="14.25" hidden="false" customHeight="false" outlineLevel="0" collapsed="false">
      <c r="A93" s="5" t="n">
        <f aca="false">ROW()-1</f>
        <v>92</v>
      </c>
      <c r="J93" s="1"/>
      <c r="K93" s="12" t="str">
        <f aca="false">IFERROR(VLOOKUP(J93,Lists!$I$1:$J$21,2,FALSE()),"")</f>
        <v/>
      </c>
      <c r="L93" s="1"/>
      <c r="M93" s="1"/>
      <c r="N93" s="1"/>
      <c r="O93" s="1"/>
      <c r="P93" s="1"/>
      <c r="Q93" s="1"/>
      <c r="R93" s="1"/>
      <c r="S93" s="22"/>
      <c r="T93" s="22"/>
      <c r="U93" s="1"/>
      <c r="V93" s="1"/>
      <c r="W93" s="23"/>
      <c r="X93" s="23"/>
      <c r="Y93" s="1"/>
      <c r="Z93" s="19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5" t="str">
        <f aca="false">IF(COUNTIF(AJ93:AT93,"Yes")=COLUMNS(AJ93:AT93),"Yes","No")</f>
        <v>No</v>
      </c>
      <c r="AV93" s="1"/>
      <c r="AW93" s="1"/>
      <c r="AX93" s="1"/>
      <c r="AY93" s="1"/>
    </row>
    <row r="94" customFormat="false" ht="14.25" hidden="false" customHeight="false" outlineLevel="0" collapsed="false">
      <c r="A94" s="5" t="n">
        <f aca="false">ROW()-1</f>
        <v>93</v>
      </c>
      <c r="J94" s="1"/>
      <c r="K94" s="12" t="str">
        <f aca="false">IFERROR(VLOOKUP(J94,Lists!$I$1:$J$21,2,FALSE()),"")</f>
        <v/>
      </c>
      <c r="L94" s="1"/>
      <c r="M94" s="1"/>
      <c r="N94" s="1"/>
      <c r="O94" s="1"/>
      <c r="P94" s="1"/>
      <c r="Q94" s="1"/>
      <c r="R94" s="1"/>
      <c r="S94" s="22"/>
      <c r="T94" s="22"/>
      <c r="U94" s="1"/>
      <c r="V94" s="1"/>
      <c r="W94" s="23"/>
      <c r="X94" s="23"/>
      <c r="Y94" s="1"/>
      <c r="Z94" s="19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5" t="str">
        <f aca="false">IF(COUNTIF(AJ94:AT94,"Yes")=COLUMNS(AJ94:AT94),"Yes","No")</f>
        <v>No</v>
      </c>
      <c r="AV94" s="1"/>
      <c r="AW94" s="1"/>
      <c r="AX94" s="1"/>
      <c r="AY94" s="1"/>
    </row>
    <row r="95" customFormat="false" ht="14.25" hidden="false" customHeight="false" outlineLevel="0" collapsed="false">
      <c r="A95" s="5" t="n">
        <f aca="false">ROW()-1</f>
        <v>94</v>
      </c>
      <c r="J95" s="1"/>
      <c r="K95" s="12" t="str">
        <f aca="false">IFERROR(VLOOKUP(J95,Lists!$I$1:$J$21,2,FALSE()),"")</f>
        <v/>
      </c>
      <c r="L95" s="1"/>
      <c r="M95" s="1"/>
      <c r="N95" s="1"/>
      <c r="O95" s="1"/>
      <c r="P95" s="1"/>
      <c r="Q95" s="1"/>
      <c r="R95" s="1"/>
      <c r="S95" s="22"/>
      <c r="T95" s="22"/>
      <c r="U95" s="1"/>
      <c r="V95" s="1"/>
      <c r="W95" s="23"/>
      <c r="X95" s="23"/>
      <c r="Y95" s="1"/>
      <c r="Z95" s="19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5" t="str">
        <f aca="false">IF(COUNTIF(AJ95:AT95,"Yes")=COLUMNS(AJ95:AT95),"Yes","No")</f>
        <v>No</v>
      </c>
      <c r="AV95" s="1"/>
      <c r="AW95" s="1"/>
      <c r="AX95" s="1"/>
      <c r="AY95" s="1"/>
    </row>
    <row r="96" customFormat="false" ht="14.25" hidden="false" customHeight="false" outlineLevel="0" collapsed="false">
      <c r="A96" s="5" t="n">
        <f aca="false">ROW()-1</f>
        <v>95</v>
      </c>
      <c r="J96" s="1"/>
      <c r="K96" s="12" t="str">
        <f aca="false">IFERROR(VLOOKUP(J96,Lists!$I$1:$J$21,2,FALSE()),"")</f>
        <v/>
      </c>
      <c r="L96" s="1"/>
      <c r="M96" s="1"/>
      <c r="N96" s="1"/>
      <c r="O96" s="1"/>
      <c r="P96" s="1"/>
      <c r="Q96" s="1"/>
      <c r="R96" s="1"/>
      <c r="S96" s="22"/>
      <c r="T96" s="22"/>
      <c r="U96" s="1"/>
      <c r="V96" s="1"/>
      <c r="W96" s="23"/>
      <c r="X96" s="23"/>
      <c r="Y96" s="1"/>
      <c r="Z96" s="19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5" t="str">
        <f aca="false">IF(COUNTIF(AJ96:AT96,"Yes")=COLUMNS(AJ96:AT96),"Yes","No")</f>
        <v>No</v>
      </c>
      <c r="AV96" s="1"/>
      <c r="AW96" s="1"/>
      <c r="AX96" s="1"/>
      <c r="AY96" s="1"/>
    </row>
    <row r="97" customFormat="false" ht="14.25" hidden="false" customHeight="false" outlineLevel="0" collapsed="false">
      <c r="A97" s="5" t="n">
        <f aca="false">ROW()-1</f>
        <v>96</v>
      </c>
      <c r="J97" s="1"/>
      <c r="K97" s="12" t="str">
        <f aca="false">IFERROR(VLOOKUP(J97,Lists!$I$1:$J$21,2,FALSE()),"")</f>
        <v/>
      </c>
      <c r="L97" s="1"/>
      <c r="M97" s="1"/>
      <c r="N97" s="1"/>
      <c r="O97" s="1"/>
      <c r="P97" s="1"/>
      <c r="Q97" s="1"/>
      <c r="R97" s="1"/>
      <c r="S97" s="22"/>
      <c r="T97" s="22"/>
      <c r="U97" s="1"/>
      <c r="V97" s="1"/>
      <c r="W97" s="23"/>
      <c r="X97" s="23"/>
      <c r="Y97" s="1"/>
      <c r="Z97" s="19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5" t="str">
        <f aca="false">IF(COUNTIF(AJ97:AT97,"Yes")=COLUMNS(AJ97:AT97),"Yes","No")</f>
        <v>No</v>
      </c>
      <c r="AV97" s="1"/>
      <c r="AW97" s="1"/>
      <c r="AX97" s="1"/>
      <c r="AY97" s="1"/>
    </row>
    <row r="98" customFormat="false" ht="14.25" hidden="false" customHeight="false" outlineLevel="0" collapsed="false">
      <c r="A98" s="5" t="n">
        <f aca="false">ROW()-1</f>
        <v>97</v>
      </c>
      <c r="J98" s="1"/>
      <c r="K98" s="12" t="str">
        <f aca="false">IFERROR(VLOOKUP(J98,Lists!$I$1:$J$21,2,FALSE()),"")</f>
        <v/>
      </c>
      <c r="L98" s="1"/>
      <c r="M98" s="1"/>
      <c r="N98" s="1"/>
      <c r="O98" s="1"/>
      <c r="P98" s="1"/>
      <c r="Q98" s="1"/>
      <c r="R98" s="1"/>
      <c r="S98" s="22"/>
      <c r="T98" s="22"/>
      <c r="U98" s="1"/>
      <c r="V98" s="1"/>
      <c r="W98" s="23"/>
      <c r="X98" s="23"/>
      <c r="Y98" s="1"/>
      <c r="Z98" s="19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5" t="str">
        <f aca="false">IF(COUNTIF(AJ98:AT98,"Yes")=COLUMNS(AJ98:AT98),"Yes","No")</f>
        <v>No</v>
      </c>
      <c r="AV98" s="1"/>
      <c r="AW98" s="1"/>
      <c r="AX98" s="1"/>
      <c r="AY98" s="1"/>
    </row>
    <row r="99" customFormat="false" ht="14.25" hidden="false" customHeight="false" outlineLevel="0" collapsed="false">
      <c r="A99" s="5" t="n">
        <f aca="false">ROW()-1</f>
        <v>98</v>
      </c>
      <c r="J99" s="1"/>
      <c r="K99" s="12" t="str">
        <f aca="false">IFERROR(VLOOKUP(J99,Lists!$I$1:$J$21,2,FALSE()),"")</f>
        <v/>
      </c>
      <c r="L99" s="1"/>
      <c r="M99" s="1"/>
      <c r="N99" s="1"/>
      <c r="O99" s="1"/>
      <c r="P99" s="1"/>
      <c r="Q99" s="1"/>
      <c r="R99" s="1"/>
      <c r="S99" s="22"/>
      <c r="T99" s="22"/>
      <c r="U99" s="1"/>
      <c r="V99" s="1"/>
      <c r="W99" s="23"/>
      <c r="X99" s="23"/>
      <c r="Y99" s="1"/>
      <c r="Z99" s="19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5" t="str">
        <f aca="false">IF(COUNTIF(AJ99:AT99,"Yes")=COLUMNS(AJ99:AT99),"Yes","No")</f>
        <v>No</v>
      </c>
      <c r="AV99" s="1"/>
      <c r="AW99" s="1"/>
      <c r="AX99" s="1"/>
      <c r="AY99" s="1"/>
    </row>
    <row r="100" customFormat="false" ht="14.25" hidden="false" customHeight="false" outlineLevel="0" collapsed="false">
      <c r="A100" s="5" t="n">
        <f aca="false">ROW()-1</f>
        <v>99</v>
      </c>
      <c r="J100" s="1"/>
      <c r="K100" s="12" t="str">
        <f aca="false">IFERROR(VLOOKUP(J100,Lists!$I$1:$J$21,2,FALSE()),"")</f>
        <v/>
      </c>
      <c r="L100" s="1"/>
      <c r="M100" s="1"/>
      <c r="N100" s="1"/>
      <c r="O100" s="1"/>
      <c r="P100" s="1"/>
      <c r="Q100" s="1"/>
      <c r="R100" s="1"/>
      <c r="S100" s="22"/>
      <c r="T100" s="22"/>
      <c r="U100" s="1"/>
      <c r="V100" s="1"/>
      <c r="W100" s="23"/>
      <c r="X100" s="23"/>
      <c r="Y100" s="1"/>
      <c r="Z100" s="19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5" t="str">
        <f aca="false">IF(COUNTIF(AJ100:AT100,"Yes")=COLUMNS(AJ100:AT100),"Yes","No")</f>
        <v>No</v>
      </c>
      <c r="AV100" s="1"/>
      <c r="AW100" s="1"/>
      <c r="AX100" s="1"/>
      <c r="AY100" s="1"/>
    </row>
    <row r="101" customFormat="false" ht="14.25" hidden="false" customHeight="false" outlineLevel="0" collapsed="false">
      <c r="A101" s="5" t="n">
        <f aca="false">ROW()-1</f>
        <v>100</v>
      </c>
      <c r="J101" s="1"/>
      <c r="K101" s="12" t="str">
        <f aca="false">IFERROR(VLOOKUP(J101,Lists!$I$1:$J$21,2,FALSE()),"")</f>
        <v/>
      </c>
      <c r="L101" s="1"/>
      <c r="M101" s="1"/>
      <c r="N101" s="1"/>
      <c r="O101" s="1"/>
      <c r="P101" s="1"/>
      <c r="Q101" s="1"/>
      <c r="R101" s="1"/>
      <c r="S101" s="22"/>
      <c r="T101" s="22"/>
      <c r="U101" s="1"/>
      <c r="V101" s="1"/>
      <c r="W101" s="23"/>
      <c r="X101" s="23"/>
      <c r="Y101" s="1"/>
      <c r="Z101" s="19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5" t="str">
        <f aca="false">IF(COUNTIF(AJ101:AT101,"Yes")=COLUMNS(AJ101:AT101),"Yes","No")</f>
        <v>No</v>
      </c>
      <c r="AV101" s="1"/>
      <c r="AW101" s="1"/>
      <c r="AX101" s="1"/>
      <c r="AY101" s="1"/>
    </row>
    <row r="102" customFormat="false" ht="14.25" hidden="false" customHeight="false" outlineLevel="0" collapsed="false">
      <c r="A102" s="5" t="n">
        <f aca="false">ROW()-1</f>
        <v>101</v>
      </c>
      <c r="J102" s="1"/>
      <c r="K102" s="12" t="str">
        <f aca="false">IFERROR(VLOOKUP(J102,Lists!$I$1:$J$21,2,FALSE()),"")</f>
        <v/>
      </c>
      <c r="L102" s="1"/>
      <c r="M102" s="1"/>
      <c r="N102" s="1"/>
      <c r="O102" s="1"/>
      <c r="P102" s="1"/>
      <c r="Q102" s="1"/>
      <c r="R102" s="1"/>
      <c r="S102" s="22"/>
      <c r="T102" s="22"/>
      <c r="U102" s="1"/>
      <c r="V102" s="1"/>
      <c r="W102" s="23"/>
      <c r="X102" s="23"/>
      <c r="Y102" s="1"/>
      <c r="Z102" s="19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5" t="str">
        <f aca="false">IF(COUNTIF(AJ102:AT102,"Yes")=COLUMNS(AJ102:AT102),"Yes","No")</f>
        <v>No</v>
      </c>
      <c r="AV102" s="1"/>
      <c r="AW102" s="1"/>
      <c r="AX102" s="1"/>
      <c r="AY102" s="1"/>
    </row>
    <row r="103" customFormat="false" ht="14.25" hidden="false" customHeight="false" outlineLevel="0" collapsed="false">
      <c r="A103" s="5" t="n">
        <f aca="false">ROW()-1</f>
        <v>102</v>
      </c>
      <c r="J103" s="1"/>
      <c r="K103" s="12" t="str">
        <f aca="false">IFERROR(VLOOKUP(J103,Lists!$I$1:$J$21,2,FALSE()),"")</f>
        <v/>
      </c>
      <c r="L103" s="1"/>
      <c r="M103" s="1"/>
      <c r="N103" s="1"/>
      <c r="O103" s="1"/>
      <c r="P103" s="1"/>
      <c r="Q103" s="1"/>
      <c r="R103" s="1"/>
      <c r="S103" s="22"/>
      <c r="T103" s="22"/>
      <c r="U103" s="1"/>
      <c r="V103" s="1"/>
      <c r="W103" s="23"/>
      <c r="X103" s="23"/>
      <c r="Y103" s="1"/>
      <c r="Z103" s="19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5" t="str">
        <f aca="false">IF(COUNTIF(AJ103:AT103,"Yes")=COLUMNS(AJ103:AT103),"Yes","No")</f>
        <v>No</v>
      </c>
      <c r="AV103" s="1"/>
      <c r="AW103" s="1"/>
      <c r="AX103" s="1"/>
      <c r="AY103" s="1"/>
    </row>
    <row r="104" customFormat="false" ht="14.25" hidden="false" customHeight="false" outlineLevel="0" collapsed="false">
      <c r="A104" s="5" t="n">
        <f aca="false">ROW()-1</f>
        <v>103</v>
      </c>
      <c r="J104" s="1"/>
      <c r="K104" s="12" t="str">
        <f aca="false">IFERROR(VLOOKUP(J104,Lists!$I$1:$J$21,2,FALSE()),"")</f>
        <v/>
      </c>
      <c r="L104" s="1"/>
      <c r="M104" s="1"/>
      <c r="N104" s="1"/>
      <c r="O104" s="1"/>
      <c r="P104" s="1"/>
      <c r="Q104" s="1"/>
      <c r="R104" s="1"/>
      <c r="S104" s="22"/>
      <c r="T104" s="22"/>
      <c r="U104" s="1"/>
      <c r="V104" s="1"/>
      <c r="W104" s="23"/>
      <c r="X104" s="23"/>
      <c r="Y104" s="1"/>
      <c r="Z104" s="19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5" t="str">
        <f aca="false">IF(COUNTIF(AJ104:AT104,"Yes")=COLUMNS(AJ104:AT104),"Yes","No")</f>
        <v>No</v>
      </c>
      <c r="AV104" s="1"/>
      <c r="AW104" s="1"/>
      <c r="AX104" s="1"/>
      <c r="AY104" s="1"/>
    </row>
    <row r="105" customFormat="false" ht="14.25" hidden="false" customHeight="false" outlineLevel="0" collapsed="false">
      <c r="A105" s="5" t="n">
        <f aca="false">ROW()-1</f>
        <v>104</v>
      </c>
      <c r="J105" s="1"/>
      <c r="K105" s="12" t="str">
        <f aca="false">IFERROR(VLOOKUP(J105,Lists!$I$1:$J$21,2,FALSE()),"")</f>
        <v/>
      </c>
      <c r="L105" s="1"/>
      <c r="M105" s="1"/>
      <c r="N105" s="1"/>
      <c r="O105" s="1"/>
      <c r="P105" s="1"/>
      <c r="Q105" s="1"/>
      <c r="R105" s="1"/>
      <c r="S105" s="22"/>
      <c r="T105" s="22"/>
      <c r="U105" s="1"/>
      <c r="V105" s="1"/>
      <c r="W105" s="23"/>
      <c r="X105" s="23"/>
      <c r="Y105" s="1"/>
      <c r="Z105" s="19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5" t="str">
        <f aca="false">IF(COUNTIF(AJ105:AT105,"Yes")=COLUMNS(AJ105:AT105),"Yes","No")</f>
        <v>No</v>
      </c>
      <c r="AV105" s="1"/>
      <c r="AW105" s="1"/>
      <c r="AX105" s="1"/>
      <c r="AY105" s="1"/>
    </row>
    <row r="106" customFormat="false" ht="14.25" hidden="false" customHeight="false" outlineLevel="0" collapsed="false">
      <c r="A106" s="5" t="n">
        <f aca="false">ROW()-1</f>
        <v>105</v>
      </c>
      <c r="J106" s="1"/>
      <c r="K106" s="12" t="str">
        <f aca="false">IFERROR(VLOOKUP(J106,Lists!$I$1:$J$21,2,FALSE()),"")</f>
        <v/>
      </c>
      <c r="L106" s="1"/>
      <c r="M106" s="1"/>
      <c r="N106" s="1"/>
      <c r="O106" s="1"/>
      <c r="P106" s="1"/>
      <c r="Q106" s="1"/>
      <c r="R106" s="1"/>
      <c r="S106" s="22"/>
      <c r="T106" s="22"/>
      <c r="U106" s="1"/>
      <c r="V106" s="1"/>
      <c r="W106" s="23"/>
      <c r="X106" s="23"/>
      <c r="Y106" s="1"/>
      <c r="Z106" s="19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5" t="str">
        <f aca="false">IF(COUNTIF(AJ106:AT106,"Yes")=COLUMNS(AJ106:AT106),"Yes","No")</f>
        <v>No</v>
      </c>
      <c r="AV106" s="1"/>
      <c r="AW106" s="1"/>
      <c r="AX106" s="1"/>
      <c r="AY106" s="1"/>
    </row>
    <row r="107" customFormat="false" ht="14.25" hidden="false" customHeight="false" outlineLevel="0" collapsed="false">
      <c r="A107" s="5" t="n">
        <f aca="false">ROW()-1</f>
        <v>106</v>
      </c>
      <c r="J107" s="1"/>
      <c r="K107" s="12" t="str">
        <f aca="false">IFERROR(VLOOKUP(J107,Lists!$I$1:$J$21,2,FALSE()),"")</f>
        <v/>
      </c>
      <c r="L107" s="1"/>
      <c r="M107" s="1"/>
      <c r="N107" s="1"/>
      <c r="O107" s="1"/>
      <c r="P107" s="1"/>
      <c r="Q107" s="1"/>
      <c r="R107" s="1"/>
      <c r="S107" s="22"/>
      <c r="T107" s="22"/>
      <c r="U107" s="1"/>
      <c r="V107" s="1"/>
      <c r="W107" s="23"/>
      <c r="X107" s="23"/>
      <c r="Y107" s="1"/>
      <c r="Z107" s="19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5" t="str">
        <f aca="false">IF(COUNTIF(AJ107:AT107,"Yes")=COLUMNS(AJ107:AT107),"Yes","No")</f>
        <v>No</v>
      </c>
      <c r="AV107" s="1"/>
      <c r="AW107" s="1"/>
      <c r="AX107" s="1"/>
      <c r="AY107" s="1"/>
    </row>
    <row r="108" customFormat="false" ht="14.25" hidden="false" customHeight="false" outlineLevel="0" collapsed="false">
      <c r="A108" s="5" t="n">
        <f aca="false">ROW()-1</f>
        <v>107</v>
      </c>
      <c r="J108" s="1"/>
      <c r="K108" s="12" t="str">
        <f aca="false">IFERROR(VLOOKUP(J108,Lists!$I$1:$J$21,2,FALSE()),"")</f>
        <v/>
      </c>
      <c r="L108" s="1"/>
      <c r="M108" s="1"/>
      <c r="N108" s="1"/>
      <c r="O108" s="1"/>
      <c r="P108" s="1"/>
      <c r="Q108" s="1"/>
      <c r="R108" s="1"/>
      <c r="S108" s="22"/>
      <c r="T108" s="22"/>
      <c r="U108" s="1"/>
      <c r="V108" s="1"/>
      <c r="W108" s="23"/>
      <c r="X108" s="23"/>
      <c r="Y108" s="1"/>
      <c r="Z108" s="19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5" t="str">
        <f aca="false">IF(COUNTIF(AJ108:AT108,"Yes")=COLUMNS(AJ108:AT108),"Yes","No")</f>
        <v>No</v>
      </c>
      <c r="AV108" s="1"/>
      <c r="AW108" s="1"/>
      <c r="AX108" s="1"/>
      <c r="AY108" s="1"/>
    </row>
    <row r="109" customFormat="false" ht="14.25" hidden="false" customHeight="false" outlineLevel="0" collapsed="false">
      <c r="A109" s="5" t="n">
        <f aca="false">ROW()-1</f>
        <v>108</v>
      </c>
      <c r="J109" s="1"/>
      <c r="K109" s="12" t="str">
        <f aca="false">IFERROR(VLOOKUP(J109,Lists!$I$1:$J$21,2,FALSE()),"")</f>
        <v/>
      </c>
      <c r="L109" s="1"/>
      <c r="M109" s="1"/>
      <c r="N109" s="1"/>
      <c r="O109" s="1"/>
      <c r="P109" s="1"/>
      <c r="Q109" s="1"/>
      <c r="R109" s="1"/>
      <c r="S109" s="22"/>
      <c r="T109" s="22"/>
      <c r="U109" s="1"/>
      <c r="V109" s="1"/>
      <c r="W109" s="23"/>
      <c r="X109" s="23"/>
      <c r="Y109" s="1"/>
      <c r="Z109" s="19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5" t="str">
        <f aca="false">IF(COUNTIF(AJ109:AT109,"Yes")=COLUMNS(AJ109:AT109),"Yes","No")</f>
        <v>No</v>
      </c>
      <c r="AV109" s="1"/>
      <c r="AW109" s="1"/>
      <c r="AX109" s="1"/>
      <c r="AY109" s="1"/>
    </row>
    <row r="110" customFormat="false" ht="14.25" hidden="false" customHeight="false" outlineLevel="0" collapsed="false">
      <c r="A110" s="5" t="n">
        <f aca="false">ROW()-1</f>
        <v>109</v>
      </c>
      <c r="J110" s="1"/>
      <c r="K110" s="12" t="str">
        <f aca="false">IFERROR(VLOOKUP(J110,Lists!$I$1:$J$21,2,FALSE()),"")</f>
        <v/>
      </c>
      <c r="L110" s="1"/>
      <c r="M110" s="1"/>
      <c r="N110" s="1"/>
      <c r="O110" s="1"/>
      <c r="P110" s="1"/>
      <c r="Q110" s="1"/>
      <c r="R110" s="1"/>
      <c r="S110" s="22"/>
      <c r="T110" s="22"/>
      <c r="U110" s="1"/>
      <c r="V110" s="1"/>
      <c r="W110" s="23"/>
      <c r="X110" s="23"/>
      <c r="Y110" s="1"/>
      <c r="Z110" s="19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5" t="str">
        <f aca="false">IF(COUNTIF(AJ110:AT110,"Yes")=COLUMNS(AJ110:AT110),"Yes","No")</f>
        <v>No</v>
      </c>
      <c r="AV110" s="1"/>
      <c r="AW110" s="1"/>
      <c r="AX110" s="1"/>
      <c r="AY110" s="1"/>
    </row>
    <row r="111" customFormat="false" ht="14.25" hidden="false" customHeight="false" outlineLevel="0" collapsed="false">
      <c r="A111" s="5" t="n">
        <f aca="false">ROW()-1</f>
        <v>110</v>
      </c>
      <c r="J111" s="1"/>
      <c r="K111" s="12" t="str">
        <f aca="false">IFERROR(VLOOKUP(J111,Lists!$I$1:$J$21,2,FALSE()),"")</f>
        <v/>
      </c>
      <c r="L111" s="1"/>
      <c r="M111" s="1"/>
      <c r="N111" s="1"/>
      <c r="O111" s="1"/>
      <c r="P111" s="1"/>
      <c r="Q111" s="1"/>
      <c r="R111" s="1"/>
      <c r="S111" s="22"/>
      <c r="T111" s="22"/>
      <c r="U111" s="1"/>
      <c r="V111" s="1"/>
      <c r="W111" s="23"/>
      <c r="X111" s="23"/>
      <c r="Y111" s="1"/>
      <c r="Z111" s="19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5" t="str">
        <f aca="false">IF(COUNTIF(AJ111:AT111,"Yes")=COLUMNS(AJ111:AT111),"Yes","No")</f>
        <v>No</v>
      </c>
      <c r="AV111" s="1"/>
      <c r="AW111" s="1"/>
      <c r="AX111" s="1"/>
      <c r="AY111" s="1"/>
    </row>
    <row r="112" customFormat="false" ht="14.25" hidden="false" customHeight="false" outlineLevel="0" collapsed="false">
      <c r="A112" s="5" t="n">
        <f aca="false">ROW()-1</f>
        <v>111</v>
      </c>
      <c r="J112" s="1"/>
      <c r="K112" s="12" t="str">
        <f aca="false">IFERROR(VLOOKUP(J112,Lists!$I$1:$J$21,2,FALSE()),"")</f>
        <v/>
      </c>
      <c r="L112" s="1"/>
      <c r="M112" s="1"/>
      <c r="N112" s="1"/>
      <c r="O112" s="1"/>
      <c r="P112" s="1"/>
      <c r="Q112" s="1"/>
      <c r="R112" s="1"/>
      <c r="S112" s="22"/>
      <c r="T112" s="22"/>
      <c r="U112" s="1"/>
      <c r="V112" s="1"/>
      <c r="W112" s="23"/>
      <c r="X112" s="23"/>
      <c r="Y112" s="1"/>
      <c r="Z112" s="19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5" t="str">
        <f aca="false">IF(COUNTIF(AJ112:AT112,"Yes")=COLUMNS(AJ112:AT112),"Yes","No")</f>
        <v>No</v>
      </c>
      <c r="AV112" s="1"/>
      <c r="AW112" s="1"/>
      <c r="AX112" s="1"/>
      <c r="AY112" s="1"/>
    </row>
    <row r="113" customFormat="false" ht="14.25" hidden="false" customHeight="false" outlineLevel="0" collapsed="false">
      <c r="A113" s="5" t="n">
        <f aca="false">ROW()-1</f>
        <v>112</v>
      </c>
      <c r="J113" s="1"/>
      <c r="K113" s="12" t="str">
        <f aca="false">IFERROR(VLOOKUP(J113,Lists!$I$1:$J$21,2,FALSE()),"")</f>
        <v/>
      </c>
      <c r="L113" s="1"/>
      <c r="M113" s="1"/>
      <c r="N113" s="1"/>
      <c r="O113" s="1"/>
      <c r="P113" s="1"/>
      <c r="Q113" s="1"/>
      <c r="R113" s="1"/>
      <c r="S113" s="22"/>
      <c r="T113" s="22"/>
      <c r="U113" s="1"/>
      <c r="V113" s="1"/>
      <c r="W113" s="23"/>
      <c r="X113" s="23"/>
      <c r="Y113" s="1"/>
      <c r="Z113" s="19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5" t="str">
        <f aca="false">IF(COUNTIF(AJ113:AT113,"Yes")=COLUMNS(AJ113:AT113),"Yes","No")</f>
        <v>No</v>
      </c>
      <c r="AV113" s="1"/>
      <c r="AW113" s="1"/>
      <c r="AX113" s="1"/>
      <c r="AY113" s="1"/>
    </row>
    <row r="114" customFormat="false" ht="14.25" hidden="false" customHeight="false" outlineLevel="0" collapsed="false">
      <c r="A114" s="5" t="n">
        <f aca="false">ROW()-1</f>
        <v>113</v>
      </c>
      <c r="J114" s="1"/>
      <c r="K114" s="12" t="str">
        <f aca="false">IFERROR(VLOOKUP(J114,Lists!$I$1:$J$21,2,FALSE()),"")</f>
        <v/>
      </c>
      <c r="L114" s="1"/>
      <c r="M114" s="1"/>
      <c r="N114" s="1"/>
      <c r="O114" s="1"/>
      <c r="P114" s="1"/>
      <c r="Q114" s="1"/>
      <c r="R114" s="1"/>
      <c r="S114" s="22"/>
      <c r="T114" s="22"/>
      <c r="U114" s="1"/>
      <c r="V114" s="1"/>
      <c r="W114" s="23"/>
      <c r="X114" s="23"/>
      <c r="Y114" s="1"/>
      <c r="Z114" s="19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5" t="str">
        <f aca="false">IF(COUNTIF(AJ114:AT114,"Yes")=COLUMNS(AJ114:AT114),"Yes","No")</f>
        <v>No</v>
      </c>
      <c r="AV114" s="1"/>
      <c r="AW114" s="1"/>
      <c r="AX114" s="1"/>
      <c r="AY114" s="1"/>
    </row>
    <row r="115" customFormat="false" ht="14.25" hidden="false" customHeight="false" outlineLevel="0" collapsed="false">
      <c r="A115" s="5" t="n">
        <f aca="false">ROW()-1</f>
        <v>114</v>
      </c>
      <c r="J115" s="1"/>
      <c r="K115" s="12" t="str">
        <f aca="false">IFERROR(VLOOKUP(J115,Lists!$I$1:$J$21,2,FALSE()),"")</f>
        <v/>
      </c>
      <c r="L115" s="1"/>
      <c r="M115" s="1"/>
      <c r="N115" s="1"/>
      <c r="O115" s="1"/>
      <c r="P115" s="1"/>
      <c r="Q115" s="1"/>
      <c r="R115" s="1"/>
      <c r="S115" s="22"/>
      <c r="T115" s="22"/>
      <c r="U115" s="1"/>
      <c r="V115" s="1"/>
      <c r="W115" s="23"/>
      <c r="X115" s="23"/>
      <c r="Y115" s="1"/>
      <c r="Z115" s="19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5" t="str">
        <f aca="false">IF(COUNTIF(AJ115:AT115,"Yes")=COLUMNS(AJ115:AT115),"Yes","No")</f>
        <v>No</v>
      </c>
      <c r="AV115" s="1"/>
      <c r="AW115" s="1"/>
      <c r="AX115" s="1"/>
      <c r="AY115" s="1"/>
    </row>
    <row r="116" customFormat="false" ht="14.25" hidden="false" customHeight="false" outlineLevel="0" collapsed="false">
      <c r="A116" s="5" t="n">
        <f aca="false">ROW()-1</f>
        <v>115</v>
      </c>
      <c r="J116" s="1"/>
      <c r="K116" s="12" t="str">
        <f aca="false">IFERROR(VLOOKUP(J116,Lists!$I$1:$J$21,2,FALSE()),"")</f>
        <v/>
      </c>
      <c r="L116" s="1"/>
      <c r="M116" s="1"/>
      <c r="N116" s="1"/>
      <c r="O116" s="1"/>
      <c r="P116" s="1"/>
      <c r="Q116" s="1"/>
      <c r="R116" s="1"/>
      <c r="S116" s="22"/>
      <c r="T116" s="22"/>
      <c r="U116" s="1"/>
      <c r="V116" s="1"/>
      <c r="W116" s="23"/>
      <c r="X116" s="23"/>
      <c r="Y116" s="1"/>
      <c r="Z116" s="19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5" t="str">
        <f aca="false">IF(COUNTIF(AJ116:AT116,"Yes")=COLUMNS(AJ116:AT116),"Yes","No")</f>
        <v>No</v>
      </c>
      <c r="AV116" s="1"/>
      <c r="AW116" s="1"/>
      <c r="AX116" s="1"/>
      <c r="AY116" s="1"/>
    </row>
    <row r="117" customFormat="false" ht="14.25" hidden="false" customHeight="false" outlineLevel="0" collapsed="false">
      <c r="A117" s="5" t="n">
        <f aca="false">ROW()-1</f>
        <v>116</v>
      </c>
      <c r="J117" s="1"/>
      <c r="K117" s="12" t="str">
        <f aca="false">IFERROR(VLOOKUP(J117,Lists!$I$1:$J$21,2,FALSE()),"")</f>
        <v/>
      </c>
      <c r="L117" s="1"/>
      <c r="M117" s="1"/>
      <c r="N117" s="1"/>
      <c r="O117" s="1"/>
      <c r="P117" s="1"/>
      <c r="Q117" s="1"/>
      <c r="R117" s="1"/>
      <c r="S117" s="22"/>
      <c r="T117" s="22"/>
      <c r="U117" s="1"/>
      <c r="V117" s="1"/>
      <c r="W117" s="23"/>
      <c r="X117" s="23"/>
      <c r="Y117" s="1"/>
      <c r="Z117" s="19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5" t="str">
        <f aca="false">IF(COUNTIF(AJ117:AT117,"Yes")=COLUMNS(AJ117:AT117),"Yes","No")</f>
        <v>No</v>
      </c>
      <c r="AV117" s="1"/>
      <c r="AW117" s="1"/>
      <c r="AX117" s="1"/>
      <c r="AY117" s="1"/>
    </row>
    <row r="118" customFormat="false" ht="14.25" hidden="false" customHeight="false" outlineLevel="0" collapsed="false">
      <c r="A118" s="5" t="n">
        <f aca="false">ROW()-1</f>
        <v>117</v>
      </c>
      <c r="J118" s="1"/>
      <c r="K118" s="12" t="str">
        <f aca="false">IFERROR(VLOOKUP(J118,Lists!$I$1:$J$21,2,FALSE()),"")</f>
        <v/>
      </c>
      <c r="L118" s="1"/>
      <c r="M118" s="1"/>
      <c r="N118" s="1"/>
      <c r="O118" s="1"/>
      <c r="P118" s="1"/>
      <c r="Q118" s="1"/>
      <c r="R118" s="1"/>
      <c r="S118" s="22"/>
      <c r="T118" s="22"/>
      <c r="U118" s="1"/>
      <c r="V118" s="1"/>
      <c r="W118" s="23"/>
      <c r="X118" s="23"/>
      <c r="Y118" s="1"/>
      <c r="Z118" s="19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5" t="str">
        <f aca="false">IF(COUNTIF(AJ118:AT118,"Yes")=COLUMNS(AJ118:AT118),"Yes","No")</f>
        <v>No</v>
      </c>
      <c r="AV118" s="1"/>
      <c r="AW118" s="1"/>
      <c r="AX118" s="1"/>
      <c r="AY118" s="1"/>
    </row>
    <row r="119" customFormat="false" ht="14.25" hidden="false" customHeight="false" outlineLevel="0" collapsed="false">
      <c r="A119" s="5" t="n">
        <f aca="false">ROW()-1</f>
        <v>118</v>
      </c>
      <c r="J119" s="1"/>
      <c r="K119" s="12" t="str">
        <f aca="false">IFERROR(VLOOKUP(J119,Lists!$I$1:$J$21,2,FALSE()),"")</f>
        <v/>
      </c>
      <c r="L119" s="1"/>
      <c r="M119" s="1"/>
      <c r="N119" s="1"/>
      <c r="O119" s="1"/>
      <c r="P119" s="1"/>
      <c r="Q119" s="1"/>
      <c r="R119" s="1"/>
      <c r="S119" s="22"/>
      <c r="T119" s="22"/>
      <c r="U119" s="1"/>
      <c r="V119" s="1"/>
      <c r="W119" s="23"/>
      <c r="X119" s="23"/>
      <c r="Y119" s="1"/>
      <c r="Z119" s="19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5" t="str">
        <f aca="false">IF(COUNTIF(AJ119:AT119,"Yes")=COLUMNS(AJ119:AT119),"Yes","No")</f>
        <v>No</v>
      </c>
      <c r="AV119" s="1"/>
      <c r="AW119" s="1"/>
      <c r="AX119" s="1"/>
      <c r="AY119" s="1"/>
    </row>
    <row r="120" customFormat="false" ht="14.25" hidden="false" customHeight="false" outlineLevel="0" collapsed="false">
      <c r="A120" s="5" t="n">
        <f aca="false">ROW()-1</f>
        <v>119</v>
      </c>
      <c r="J120" s="1"/>
      <c r="K120" s="12" t="str">
        <f aca="false">IFERROR(VLOOKUP(J120,Lists!$I$1:$J$21,2,FALSE()),"")</f>
        <v/>
      </c>
      <c r="L120" s="1"/>
      <c r="M120" s="1"/>
      <c r="N120" s="1"/>
      <c r="O120" s="1"/>
      <c r="P120" s="1"/>
      <c r="Q120" s="1"/>
      <c r="R120" s="1"/>
      <c r="S120" s="22"/>
      <c r="T120" s="22"/>
      <c r="U120" s="1"/>
      <c r="V120" s="1"/>
      <c r="W120" s="23"/>
      <c r="X120" s="23"/>
      <c r="Y120" s="1"/>
      <c r="Z120" s="19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5" t="str">
        <f aca="false">IF(COUNTIF(AJ120:AT120,"Yes")=COLUMNS(AJ120:AT120),"Yes","No")</f>
        <v>No</v>
      </c>
      <c r="AV120" s="1"/>
      <c r="AW120" s="1"/>
      <c r="AX120" s="1"/>
      <c r="AY120" s="1"/>
    </row>
    <row r="121" customFormat="false" ht="14.25" hidden="false" customHeight="false" outlineLevel="0" collapsed="false">
      <c r="A121" s="5" t="n">
        <f aca="false">ROW()-1</f>
        <v>120</v>
      </c>
      <c r="J121" s="1"/>
      <c r="K121" s="12" t="str">
        <f aca="false">IFERROR(VLOOKUP(J121,Lists!$I$1:$J$21,2,FALSE()),"")</f>
        <v/>
      </c>
      <c r="L121" s="1"/>
      <c r="M121" s="1"/>
      <c r="N121" s="1"/>
      <c r="O121" s="1"/>
      <c r="P121" s="1"/>
      <c r="Q121" s="1"/>
      <c r="R121" s="1"/>
      <c r="S121" s="22"/>
      <c r="T121" s="22"/>
      <c r="U121" s="1"/>
      <c r="V121" s="1"/>
      <c r="W121" s="23"/>
      <c r="X121" s="23"/>
      <c r="Y121" s="1"/>
      <c r="Z121" s="19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5" t="str">
        <f aca="false">IF(COUNTIF(AJ121:AT121,"Yes")=COLUMNS(AJ121:AT121),"Yes","No")</f>
        <v>No</v>
      </c>
      <c r="AV121" s="1"/>
      <c r="AW121" s="1"/>
      <c r="AX121" s="1"/>
      <c r="AY121" s="1"/>
    </row>
    <row r="122" customFormat="false" ht="14.25" hidden="false" customHeight="false" outlineLevel="0" collapsed="false">
      <c r="A122" s="5" t="n">
        <f aca="false">ROW()-1</f>
        <v>121</v>
      </c>
      <c r="J122" s="1"/>
      <c r="K122" s="12" t="str">
        <f aca="false">IFERROR(VLOOKUP(J122,Lists!$I$1:$J$21,2,FALSE()),"")</f>
        <v/>
      </c>
      <c r="L122" s="1"/>
      <c r="M122" s="1"/>
      <c r="N122" s="1"/>
      <c r="O122" s="1"/>
      <c r="P122" s="1"/>
      <c r="Q122" s="1"/>
      <c r="R122" s="1"/>
      <c r="S122" s="22"/>
      <c r="T122" s="22"/>
      <c r="U122" s="1"/>
      <c r="V122" s="1"/>
      <c r="W122" s="23"/>
      <c r="X122" s="23"/>
      <c r="Y122" s="1"/>
      <c r="Z122" s="19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5" t="str">
        <f aca="false">IF(COUNTIF(AJ122:AT122,"Yes")=COLUMNS(AJ122:AT122),"Yes","No")</f>
        <v>No</v>
      </c>
      <c r="AV122" s="1"/>
      <c r="AW122" s="1"/>
      <c r="AX122" s="1"/>
      <c r="AY122" s="1"/>
    </row>
    <row r="123" customFormat="false" ht="14.25" hidden="false" customHeight="false" outlineLevel="0" collapsed="false">
      <c r="A123" s="5" t="n">
        <f aca="false">ROW()-1</f>
        <v>122</v>
      </c>
      <c r="J123" s="1"/>
      <c r="K123" s="12" t="str">
        <f aca="false">IFERROR(VLOOKUP(J123,Lists!$I$1:$J$21,2,FALSE()),"")</f>
        <v/>
      </c>
      <c r="L123" s="1"/>
      <c r="M123" s="1"/>
      <c r="N123" s="1"/>
      <c r="O123" s="1"/>
      <c r="P123" s="1"/>
      <c r="Q123" s="1"/>
      <c r="R123" s="1"/>
      <c r="S123" s="22"/>
      <c r="T123" s="22"/>
      <c r="U123" s="1"/>
      <c r="V123" s="1"/>
      <c r="W123" s="23"/>
      <c r="X123" s="23"/>
      <c r="Y123" s="1"/>
      <c r="Z123" s="19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5" t="str">
        <f aca="false">IF(COUNTIF(AJ123:AT123,"Yes")=COLUMNS(AJ123:AT123),"Yes","No")</f>
        <v>No</v>
      </c>
      <c r="AV123" s="1"/>
      <c r="AW123" s="1"/>
      <c r="AX123" s="1"/>
      <c r="AY123" s="1"/>
    </row>
    <row r="124" customFormat="false" ht="14.25" hidden="false" customHeight="false" outlineLevel="0" collapsed="false">
      <c r="A124" s="5" t="n">
        <f aca="false">ROW()-1</f>
        <v>123</v>
      </c>
      <c r="J124" s="1"/>
      <c r="K124" s="12" t="str">
        <f aca="false">IFERROR(VLOOKUP(J124,Lists!$I$1:$J$21,2,FALSE()),"")</f>
        <v/>
      </c>
      <c r="L124" s="1"/>
      <c r="M124" s="1"/>
      <c r="N124" s="1"/>
      <c r="O124" s="1"/>
      <c r="P124" s="1"/>
      <c r="Q124" s="1"/>
      <c r="R124" s="1"/>
      <c r="S124" s="22"/>
      <c r="T124" s="22"/>
      <c r="U124" s="1"/>
      <c r="V124" s="1"/>
      <c r="W124" s="23"/>
      <c r="X124" s="23"/>
      <c r="Y124" s="1"/>
      <c r="Z124" s="19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5" t="str">
        <f aca="false">IF(COUNTIF(AJ124:AT124,"Yes")=COLUMNS(AJ124:AT124),"Yes","No")</f>
        <v>No</v>
      </c>
      <c r="AV124" s="1"/>
      <c r="AW124" s="1"/>
      <c r="AX124" s="1"/>
      <c r="AY124" s="1"/>
    </row>
    <row r="125" customFormat="false" ht="14.25" hidden="false" customHeight="false" outlineLevel="0" collapsed="false">
      <c r="A125" s="5" t="n">
        <f aca="false">ROW()-1</f>
        <v>124</v>
      </c>
      <c r="J125" s="1"/>
      <c r="K125" s="12" t="str">
        <f aca="false">IFERROR(VLOOKUP(J125,Lists!$I$1:$J$21,2,FALSE()),"")</f>
        <v/>
      </c>
      <c r="L125" s="1"/>
      <c r="M125" s="1"/>
      <c r="N125" s="1"/>
      <c r="O125" s="1"/>
      <c r="P125" s="1"/>
      <c r="Q125" s="1"/>
      <c r="R125" s="1"/>
      <c r="S125" s="22"/>
      <c r="T125" s="22"/>
      <c r="U125" s="1"/>
      <c r="V125" s="1"/>
      <c r="W125" s="23"/>
      <c r="X125" s="23"/>
      <c r="Y125" s="1"/>
      <c r="Z125" s="19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5" t="str">
        <f aca="false">IF(COUNTIF(AJ125:AT125,"Yes")=COLUMNS(AJ125:AT125),"Yes","No")</f>
        <v>No</v>
      </c>
      <c r="AV125" s="1"/>
      <c r="AW125" s="1"/>
      <c r="AX125" s="1"/>
      <c r="AY125" s="1"/>
    </row>
    <row r="126" customFormat="false" ht="14.25" hidden="false" customHeight="false" outlineLevel="0" collapsed="false">
      <c r="A126" s="5" t="n">
        <f aca="false">ROW()-1</f>
        <v>125</v>
      </c>
      <c r="J126" s="1"/>
      <c r="K126" s="12" t="str">
        <f aca="false">IFERROR(VLOOKUP(J126,Lists!$I$1:$J$21,2,FALSE()),"")</f>
        <v/>
      </c>
      <c r="L126" s="1"/>
      <c r="M126" s="1"/>
      <c r="N126" s="1"/>
      <c r="O126" s="1"/>
      <c r="P126" s="1"/>
      <c r="Q126" s="1"/>
      <c r="R126" s="1"/>
      <c r="S126" s="22"/>
      <c r="T126" s="22"/>
      <c r="U126" s="1"/>
      <c r="V126" s="1"/>
      <c r="W126" s="23"/>
      <c r="X126" s="23"/>
      <c r="Y126" s="1"/>
      <c r="Z126" s="19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5" t="str">
        <f aca="false">IF(COUNTIF(AJ126:AT126,"Yes")=COLUMNS(AJ126:AT126),"Yes","No")</f>
        <v>No</v>
      </c>
      <c r="AV126" s="1"/>
      <c r="AW126" s="1"/>
      <c r="AX126" s="1"/>
      <c r="AY126" s="1"/>
    </row>
    <row r="127" customFormat="false" ht="14.25" hidden="false" customHeight="false" outlineLevel="0" collapsed="false">
      <c r="A127" s="5" t="n">
        <f aca="false">ROW()-1</f>
        <v>126</v>
      </c>
      <c r="J127" s="1"/>
      <c r="K127" s="12" t="str">
        <f aca="false">IFERROR(VLOOKUP(J127,Lists!$I$1:$J$21,2,FALSE()),"")</f>
        <v/>
      </c>
      <c r="L127" s="1"/>
      <c r="M127" s="1"/>
      <c r="N127" s="1"/>
      <c r="O127" s="1"/>
      <c r="P127" s="1"/>
      <c r="Q127" s="1"/>
      <c r="R127" s="1"/>
      <c r="S127" s="22"/>
      <c r="T127" s="22"/>
      <c r="U127" s="1"/>
      <c r="V127" s="1"/>
      <c r="W127" s="23"/>
      <c r="X127" s="23"/>
      <c r="Y127" s="1"/>
      <c r="Z127" s="19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5" t="str">
        <f aca="false">IF(COUNTIF(AJ127:AT127,"Yes")=COLUMNS(AJ127:AT127),"Yes","No")</f>
        <v>No</v>
      </c>
      <c r="AV127" s="1"/>
      <c r="AW127" s="1"/>
      <c r="AX127" s="1"/>
      <c r="AY127" s="1"/>
    </row>
    <row r="128" customFormat="false" ht="14.25" hidden="false" customHeight="false" outlineLevel="0" collapsed="false">
      <c r="A128" s="5" t="n">
        <f aca="false">ROW()-1</f>
        <v>127</v>
      </c>
      <c r="J128" s="1"/>
      <c r="K128" s="12" t="str">
        <f aca="false">IFERROR(VLOOKUP(J128,Lists!$I$1:$J$21,2,FALSE()),"")</f>
        <v/>
      </c>
      <c r="L128" s="1"/>
      <c r="M128" s="1"/>
      <c r="N128" s="1"/>
      <c r="O128" s="1"/>
      <c r="P128" s="1"/>
      <c r="Q128" s="1"/>
      <c r="R128" s="1"/>
      <c r="S128" s="22"/>
      <c r="T128" s="22"/>
      <c r="U128" s="1"/>
      <c r="V128" s="1"/>
      <c r="W128" s="23"/>
      <c r="X128" s="23"/>
      <c r="Y128" s="1"/>
      <c r="Z128" s="19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5" t="str">
        <f aca="false">IF(COUNTIF(AJ128:AT128,"Yes")=COLUMNS(AJ128:AT128),"Yes","No")</f>
        <v>No</v>
      </c>
      <c r="AV128" s="1"/>
      <c r="AW128" s="1"/>
      <c r="AX128" s="1"/>
      <c r="AY128" s="1"/>
    </row>
    <row r="129" customFormat="false" ht="14.25" hidden="false" customHeight="false" outlineLevel="0" collapsed="false">
      <c r="A129" s="5" t="n">
        <f aca="false">ROW()-1</f>
        <v>128</v>
      </c>
      <c r="J129" s="1"/>
      <c r="K129" s="12" t="str">
        <f aca="false">IFERROR(VLOOKUP(J129,Lists!$I$1:$J$21,2,FALSE()),"")</f>
        <v/>
      </c>
      <c r="L129" s="1"/>
      <c r="M129" s="1"/>
      <c r="N129" s="1"/>
      <c r="O129" s="1"/>
      <c r="P129" s="1"/>
      <c r="Q129" s="1"/>
      <c r="R129" s="1"/>
      <c r="S129" s="22"/>
      <c r="T129" s="22"/>
      <c r="U129" s="1"/>
      <c r="V129" s="1"/>
      <c r="W129" s="23"/>
      <c r="X129" s="23"/>
      <c r="Y129" s="1"/>
      <c r="Z129" s="19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5" t="str">
        <f aca="false">IF(COUNTIF(AJ129:AT129,"Yes")=COLUMNS(AJ129:AT129),"Yes","No")</f>
        <v>No</v>
      </c>
      <c r="AV129" s="1"/>
      <c r="AW129" s="1"/>
      <c r="AX129" s="1"/>
      <c r="AY129" s="1"/>
    </row>
    <row r="130" customFormat="false" ht="14.25" hidden="false" customHeight="false" outlineLevel="0" collapsed="false">
      <c r="A130" s="5" t="n">
        <f aca="false">ROW()-1</f>
        <v>129</v>
      </c>
      <c r="J130" s="1"/>
      <c r="K130" s="12" t="str">
        <f aca="false">IFERROR(VLOOKUP(J130,Lists!$I$1:$J$21,2,FALSE()),"")</f>
        <v/>
      </c>
      <c r="L130" s="1"/>
      <c r="M130" s="1"/>
      <c r="N130" s="1"/>
      <c r="O130" s="1"/>
      <c r="P130" s="1"/>
      <c r="Q130" s="1"/>
      <c r="R130" s="1"/>
      <c r="S130" s="22"/>
      <c r="T130" s="22"/>
      <c r="U130" s="1"/>
      <c r="V130" s="1"/>
      <c r="W130" s="23"/>
      <c r="X130" s="23"/>
      <c r="Y130" s="1"/>
      <c r="Z130" s="19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5" t="str">
        <f aca="false">IF(COUNTIF(AJ130:AT130,"Yes")=COLUMNS(AJ130:AT130),"Yes","No")</f>
        <v>No</v>
      </c>
      <c r="AV130" s="1"/>
      <c r="AW130" s="1"/>
      <c r="AX130" s="1"/>
      <c r="AY130" s="1"/>
    </row>
    <row r="131" customFormat="false" ht="14.25" hidden="false" customHeight="false" outlineLevel="0" collapsed="false">
      <c r="A131" s="5" t="n">
        <f aca="false">ROW()-1</f>
        <v>130</v>
      </c>
      <c r="J131" s="1"/>
      <c r="K131" s="12" t="str">
        <f aca="false">IFERROR(VLOOKUP(J131,Lists!$I$1:$J$21,2,FALSE()),"")</f>
        <v/>
      </c>
      <c r="L131" s="1"/>
      <c r="M131" s="1"/>
      <c r="N131" s="1"/>
      <c r="O131" s="1"/>
      <c r="P131" s="1"/>
      <c r="Q131" s="1"/>
      <c r="R131" s="1"/>
      <c r="S131" s="22"/>
      <c r="T131" s="22"/>
      <c r="U131" s="1"/>
      <c r="V131" s="1"/>
      <c r="W131" s="23"/>
      <c r="X131" s="23"/>
      <c r="Y131" s="1"/>
      <c r="Z131" s="19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5" t="str">
        <f aca="false">IF(COUNTIF(AJ131:AT131,"Yes")=COLUMNS(AJ131:AT131),"Yes","No")</f>
        <v>No</v>
      </c>
      <c r="AV131" s="1"/>
      <c r="AW131" s="1"/>
      <c r="AX131" s="1"/>
      <c r="AY131" s="1"/>
    </row>
    <row r="132" customFormat="false" ht="14.25" hidden="false" customHeight="false" outlineLevel="0" collapsed="false">
      <c r="A132" s="5" t="n">
        <f aca="false">ROW()-1</f>
        <v>131</v>
      </c>
      <c r="J132" s="1"/>
      <c r="K132" s="12" t="str">
        <f aca="false">IFERROR(VLOOKUP(J132,Lists!$I$1:$J$21,2,FALSE()),"")</f>
        <v/>
      </c>
      <c r="L132" s="1"/>
      <c r="M132" s="1"/>
      <c r="N132" s="1"/>
      <c r="O132" s="1"/>
      <c r="P132" s="1"/>
      <c r="Q132" s="1"/>
      <c r="R132" s="1"/>
      <c r="S132" s="22"/>
      <c r="T132" s="22"/>
      <c r="U132" s="1"/>
      <c r="V132" s="1"/>
      <c r="W132" s="23"/>
      <c r="X132" s="23"/>
      <c r="Y132" s="1"/>
      <c r="Z132" s="19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5" t="str">
        <f aca="false">IF(COUNTIF(AJ132:AT132,"Yes")=COLUMNS(AJ132:AT132),"Yes","No")</f>
        <v>No</v>
      </c>
      <c r="AV132" s="1"/>
      <c r="AW132" s="1"/>
      <c r="AX132" s="1"/>
      <c r="AY132" s="1"/>
    </row>
    <row r="133" customFormat="false" ht="14.25" hidden="false" customHeight="false" outlineLevel="0" collapsed="false">
      <c r="A133" s="5" t="n">
        <f aca="false">ROW()-1</f>
        <v>132</v>
      </c>
      <c r="J133" s="1"/>
      <c r="K133" s="12" t="str">
        <f aca="false">IFERROR(VLOOKUP(J133,Lists!$I$1:$J$21,2,FALSE()),"")</f>
        <v/>
      </c>
      <c r="L133" s="1"/>
      <c r="M133" s="1"/>
      <c r="N133" s="1"/>
      <c r="O133" s="1"/>
      <c r="P133" s="1"/>
      <c r="Q133" s="1"/>
      <c r="R133" s="1"/>
      <c r="S133" s="22"/>
      <c r="T133" s="22"/>
      <c r="U133" s="1"/>
      <c r="V133" s="1"/>
      <c r="W133" s="23"/>
      <c r="X133" s="23"/>
      <c r="Y133" s="1"/>
      <c r="Z133" s="19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5" t="str">
        <f aca="false">IF(COUNTIF(AJ133:AT133,"Yes")=COLUMNS(AJ133:AT133),"Yes","No")</f>
        <v>No</v>
      </c>
      <c r="AV133" s="1"/>
      <c r="AW133" s="1"/>
      <c r="AX133" s="1"/>
      <c r="AY133" s="1"/>
    </row>
    <row r="134" customFormat="false" ht="14.25" hidden="false" customHeight="false" outlineLevel="0" collapsed="false">
      <c r="A134" s="5" t="n">
        <f aca="false">ROW()-1</f>
        <v>133</v>
      </c>
      <c r="J134" s="1"/>
      <c r="K134" s="12" t="str">
        <f aca="false">IFERROR(VLOOKUP(J134,Lists!$I$1:$J$21,2,FALSE()),"")</f>
        <v/>
      </c>
      <c r="L134" s="1"/>
      <c r="M134" s="1"/>
      <c r="N134" s="1"/>
      <c r="O134" s="1"/>
      <c r="P134" s="1"/>
      <c r="Q134" s="1"/>
      <c r="R134" s="1"/>
      <c r="S134" s="22"/>
      <c r="T134" s="22"/>
      <c r="U134" s="1"/>
      <c r="V134" s="1"/>
      <c r="W134" s="23"/>
      <c r="X134" s="23"/>
      <c r="Y134" s="1"/>
      <c r="Z134" s="19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5" t="str">
        <f aca="false">IF(COUNTIF(AJ134:AT134,"Yes")=COLUMNS(AJ134:AT134),"Yes","No")</f>
        <v>No</v>
      </c>
      <c r="AV134" s="1"/>
      <c r="AW134" s="1"/>
      <c r="AX134" s="1"/>
      <c r="AY134" s="1"/>
    </row>
    <row r="135" customFormat="false" ht="14.25" hidden="false" customHeight="false" outlineLevel="0" collapsed="false">
      <c r="A135" s="5" t="n">
        <f aca="false">ROW()-1</f>
        <v>134</v>
      </c>
      <c r="J135" s="1"/>
      <c r="K135" s="12" t="str">
        <f aca="false">IFERROR(VLOOKUP(J135,Lists!$I$1:$J$21,2,FALSE()),"")</f>
        <v/>
      </c>
      <c r="L135" s="1"/>
      <c r="M135" s="1"/>
      <c r="N135" s="1"/>
      <c r="O135" s="1"/>
      <c r="P135" s="1"/>
      <c r="Q135" s="1"/>
      <c r="R135" s="1"/>
      <c r="S135" s="22"/>
      <c r="T135" s="22"/>
      <c r="U135" s="1"/>
      <c r="V135" s="1"/>
      <c r="W135" s="23"/>
      <c r="X135" s="23"/>
      <c r="Y135" s="1"/>
      <c r="Z135" s="19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5" t="str">
        <f aca="false">IF(COUNTIF(AJ135:AT135,"Yes")=COLUMNS(AJ135:AT135),"Yes","No")</f>
        <v>No</v>
      </c>
      <c r="AV135" s="1"/>
      <c r="AW135" s="1"/>
      <c r="AX135" s="1"/>
      <c r="AY135" s="1"/>
    </row>
    <row r="136" customFormat="false" ht="14.25" hidden="false" customHeight="false" outlineLevel="0" collapsed="false">
      <c r="A136" s="5" t="n">
        <f aca="false">ROW()-1</f>
        <v>135</v>
      </c>
      <c r="J136" s="1"/>
      <c r="K136" s="12" t="str">
        <f aca="false">IFERROR(VLOOKUP(J136,Lists!$I$1:$J$21,2,FALSE()),"")</f>
        <v/>
      </c>
      <c r="L136" s="1"/>
      <c r="M136" s="1"/>
      <c r="N136" s="1"/>
      <c r="O136" s="1"/>
      <c r="P136" s="1"/>
      <c r="Q136" s="1"/>
      <c r="R136" s="1"/>
      <c r="S136" s="22"/>
      <c r="T136" s="22"/>
      <c r="U136" s="1"/>
      <c r="V136" s="1"/>
      <c r="W136" s="23"/>
      <c r="X136" s="23"/>
      <c r="Y136" s="1"/>
      <c r="Z136" s="19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5" t="str">
        <f aca="false">IF(COUNTIF(AJ136:AT136,"Yes")=COLUMNS(AJ136:AT136),"Yes","No")</f>
        <v>No</v>
      </c>
      <c r="AV136" s="1"/>
      <c r="AW136" s="1"/>
      <c r="AX136" s="1"/>
      <c r="AY136" s="1"/>
    </row>
    <row r="137" customFormat="false" ht="14.25" hidden="false" customHeight="false" outlineLevel="0" collapsed="false">
      <c r="A137" s="5" t="n">
        <f aca="false">ROW()-1</f>
        <v>136</v>
      </c>
      <c r="J137" s="1"/>
      <c r="K137" s="12" t="str">
        <f aca="false">IFERROR(VLOOKUP(J137,Lists!$I$1:$J$21,2,FALSE()),"")</f>
        <v/>
      </c>
      <c r="L137" s="1"/>
      <c r="M137" s="1"/>
      <c r="N137" s="1"/>
      <c r="O137" s="1"/>
      <c r="P137" s="1"/>
      <c r="Q137" s="1"/>
      <c r="R137" s="1"/>
      <c r="S137" s="22"/>
      <c r="T137" s="22"/>
      <c r="U137" s="1"/>
      <c r="V137" s="1"/>
      <c r="W137" s="23"/>
      <c r="X137" s="23"/>
      <c r="Y137" s="1"/>
      <c r="Z137" s="19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5" t="str">
        <f aca="false">IF(COUNTIF(AJ137:AT137,"Yes")=COLUMNS(AJ137:AT137),"Yes","No")</f>
        <v>No</v>
      </c>
      <c r="AV137" s="1"/>
      <c r="AW137" s="1"/>
      <c r="AX137" s="1"/>
      <c r="AY137" s="1"/>
    </row>
    <row r="138" customFormat="false" ht="14.25" hidden="false" customHeight="false" outlineLevel="0" collapsed="false">
      <c r="A138" s="5" t="n">
        <f aca="false">ROW()-1</f>
        <v>137</v>
      </c>
      <c r="J138" s="1"/>
      <c r="K138" s="12" t="str">
        <f aca="false">IFERROR(VLOOKUP(J138,Lists!$I$1:$J$21,2,FALSE()),"")</f>
        <v/>
      </c>
      <c r="L138" s="1"/>
      <c r="M138" s="1"/>
      <c r="N138" s="1"/>
      <c r="O138" s="1"/>
      <c r="P138" s="1"/>
      <c r="Q138" s="1"/>
      <c r="R138" s="1"/>
      <c r="S138" s="22"/>
      <c r="T138" s="22"/>
      <c r="U138" s="1"/>
      <c r="V138" s="1"/>
      <c r="W138" s="23"/>
      <c r="X138" s="23"/>
      <c r="Y138" s="1"/>
      <c r="Z138" s="19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5" t="str">
        <f aca="false">IF(COUNTIF(AJ138:AT138,"Yes")=COLUMNS(AJ138:AT138),"Yes","No")</f>
        <v>No</v>
      </c>
      <c r="AV138" s="1"/>
      <c r="AW138" s="1"/>
      <c r="AX138" s="1"/>
      <c r="AY138" s="1"/>
    </row>
    <row r="139" customFormat="false" ht="14.25" hidden="false" customHeight="false" outlineLevel="0" collapsed="false">
      <c r="A139" s="5" t="n">
        <f aca="false">ROW()-1</f>
        <v>138</v>
      </c>
      <c r="J139" s="1"/>
      <c r="K139" s="12" t="str">
        <f aca="false">IFERROR(VLOOKUP(J139,Lists!$I$1:$J$21,2,FALSE()),"")</f>
        <v/>
      </c>
      <c r="L139" s="1"/>
      <c r="M139" s="1"/>
      <c r="N139" s="1"/>
      <c r="O139" s="1"/>
      <c r="P139" s="1"/>
      <c r="Q139" s="1"/>
      <c r="R139" s="1"/>
      <c r="S139" s="22"/>
      <c r="T139" s="22"/>
      <c r="U139" s="1"/>
      <c r="V139" s="1"/>
      <c r="W139" s="23"/>
      <c r="X139" s="23"/>
      <c r="Y139" s="1"/>
      <c r="Z139" s="19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5" t="str">
        <f aca="false">IF(COUNTIF(AJ139:AT139,"Yes")=COLUMNS(AJ139:AT139),"Yes","No")</f>
        <v>No</v>
      </c>
      <c r="AV139" s="1"/>
      <c r="AW139" s="1"/>
      <c r="AX139" s="1"/>
      <c r="AY139" s="1"/>
    </row>
    <row r="140" customFormat="false" ht="14.25" hidden="false" customHeight="false" outlineLevel="0" collapsed="false">
      <c r="A140" s="5" t="n">
        <f aca="false">ROW()-1</f>
        <v>139</v>
      </c>
      <c r="J140" s="1"/>
      <c r="K140" s="12" t="str">
        <f aca="false">IFERROR(VLOOKUP(J140,Lists!$I$1:$J$21,2,FALSE()),"")</f>
        <v/>
      </c>
      <c r="L140" s="1"/>
      <c r="M140" s="1"/>
      <c r="N140" s="1"/>
      <c r="O140" s="1"/>
      <c r="P140" s="1"/>
      <c r="Q140" s="1"/>
      <c r="R140" s="1"/>
      <c r="S140" s="22"/>
      <c r="T140" s="22"/>
      <c r="U140" s="1"/>
      <c r="V140" s="1"/>
      <c r="W140" s="23"/>
      <c r="X140" s="23"/>
      <c r="Y140" s="1"/>
      <c r="Z140" s="19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5" t="str">
        <f aca="false">IF(COUNTIF(AJ140:AT140,"Yes")=COLUMNS(AJ140:AT140),"Yes","No")</f>
        <v>No</v>
      </c>
      <c r="AV140" s="1"/>
      <c r="AW140" s="1"/>
      <c r="AX140" s="1"/>
      <c r="AY140" s="1"/>
    </row>
    <row r="141" customFormat="false" ht="14.25" hidden="false" customHeight="false" outlineLevel="0" collapsed="false">
      <c r="A141" s="5" t="n">
        <f aca="false">ROW()-1</f>
        <v>140</v>
      </c>
      <c r="J141" s="1"/>
      <c r="K141" s="12" t="str">
        <f aca="false">IFERROR(VLOOKUP(J141,Lists!$I$1:$J$21,2,FALSE()),"")</f>
        <v/>
      </c>
      <c r="L141" s="1"/>
      <c r="M141" s="1"/>
      <c r="N141" s="1"/>
      <c r="O141" s="1"/>
      <c r="P141" s="1"/>
      <c r="Q141" s="1"/>
      <c r="R141" s="1"/>
      <c r="S141" s="22"/>
      <c r="T141" s="22"/>
      <c r="U141" s="1"/>
      <c r="V141" s="1"/>
      <c r="W141" s="23"/>
      <c r="X141" s="23"/>
      <c r="Y141" s="1"/>
      <c r="Z141" s="19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5" t="str">
        <f aca="false">IF(COUNTIF(AJ141:AT141,"Yes")=COLUMNS(AJ141:AT141),"Yes","No")</f>
        <v>No</v>
      </c>
      <c r="AV141" s="1"/>
      <c r="AW141" s="1"/>
      <c r="AX141" s="1"/>
      <c r="AY141" s="1"/>
    </row>
    <row r="142" customFormat="false" ht="14.25" hidden="false" customHeight="false" outlineLevel="0" collapsed="false">
      <c r="A142" s="5" t="n">
        <f aca="false">ROW()-1</f>
        <v>141</v>
      </c>
      <c r="J142" s="1"/>
      <c r="K142" s="12" t="str">
        <f aca="false">IFERROR(VLOOKUP(J142,Lists!$I$1:$J$21,2,FALSE()),"")</f>
        <v/>
      </c>
      <c r="L142" s="1"/>
      <c r="M142" s="1"/>
      <c r="N142" s="1"/>
      <c r="O142" s="1"/>
      <c r="P142" s="1"/>
      <c r="Q142" s="1"/>
      <c r="R142" s="1"/>
      <c r="S142" s="22"/>
      <c r="T142" s="22"/>
      <c r="U142" s="1"/>
      <c r="V142" s="1"/>
      <c r="W142" s="23"/>
      <c r="X142" s="23"/>
      <c r="Y142" s="1"/>
      <c r="Z142" s="19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5" t="str">
        <f aca="false">IF(COUNTIF(AJ142:AT142,"Yes")=COLUMNS(AJ142:AT142),"Yes","No")</f>
        <v>No</v>
      </c>
      <c r="AV142" s="1"/>
      <c r="AW142" s="1"/>
      <c r="AX142" s="1"/>
      <c r="AY142" s="1"/>
    </row>
    <row r="143" customFormat="false" ht="14.25" hidden="false" customHeight="false" outlineLevel="0" collapsed="false">
      <c r="A143" s="5" t="n">
        <f aca="false">ROW()-1</f>
        <v>142</v>
      </c>
      <c r="J143" s="1"/>
      <c r="K143" s="12" t="str">
        <f aca="false">IFERROR(VLOOKUP(J143,Lists!$I$1:$J$21,2,FALSE()),"")</f>
        <v/>
      </c>
      <c r="L143" s="1"/>
      <c r="M143" s="1"/>
      <c r="N143" s="1"/>
      <c r="O143" s="1"/>
      <c r="P143" s="1"/>
      <c r="Q143" s="1"/>
      <c r="R143" s="1"/>
      <c r="S143" s="22"/>
      <c r="T143" s="22"/>
      <c r="U143" s="1"/>
      <c r="V143" s="1"/>
      <c r="W143" s="23"/>
      <c r="X143" s="23"/>
      <c r="Y143" s="1"/>
      <c r="Z143" s="19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5" t="str">
        <f aca="false">IF(COUNTIF(AJ143:AT143,"Yes")=COLUMNS(AJ143:AT143),"Yes","No")</f>
        <v>No</v>
      </c>
      <c r="AV143" s="1"/>
      <c r="AW143" s="1"/>
      <c r="AX143" s="1"/>
      <c r="AY143" s="1"/>
    </row>
    <row r="144" customFormat="false" ht="14.25" hidden="false" customHeight="false" outlineLevel="0" collapsed="false">
      <c r="A144" s="5" t="n">
        <f aca="false">ROW()-1</f>
        <v>143</v>
      </c>
      <c r="J144" s="1"/>
      <c r="K144" s="12" t="str">
        <f aca="false">IFERROR(VLOOKUP(J144,Lists!$I$1:$J$21,2,FALSE()),"")</f>
        <v/>
      </c>
      <c r="L144" s="1"/>
      <c r="M144" s="1"/>
      <c r="N144" s="1"/>
      <c r="O144" s="1"/>
      <c r="P144" s="1"/>
      <c r="Q144" s="1"/>
      <c r="R144" s="1"/>
      <c r="S144" s="22"/>
      <c r="T144" s="22"/>
      <c r="U144" s="1"/>
      <c r="V144" s="1"/>
      <c r="W144" s="23"/>
      <c r="X144" s="23"/>
      <c r="Y144" s="1"/>
      <c r="Z144" s="19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5" t="str">
        <f aca="false">IF(COUNTIF(AJ144:AT144,"Yes")=COLUMNS(AJ144:AT144),"Yes","No")</f>
        <v>No</v>
      </c>
      <c r="AV144" s="1"/>
      <c r="AW144" s="1"/>
      <c r="AX144" s="1"/>
      <c r="AY144" s="1"/>
    </row>
    <row r="145" customFormat="false" ht="14.25" hidden="false" customHeight="false" outlineLevel="0" collapsed="false">
      <c r="A145" s="5" t="n">
        <f aca="false">ROW()-1</f>
        <v>144</v>
      </c>
      <c r="J145" s="1"/>
      <c r="K145" s="12" t="str">
        <f aca="false">IFERROR(VLOOKUP(J145,Lists!$I$1:$J$21,2,FALSE()),"")</f>
        <v/>
      </c>
      <c r="L145" s="1"/>
      <c r="M145" s="1"/>
      <c r="N145" s="1"/>
      <c r="O145" s="1"/>
      <c r="P145" s="1"/>
      <c r="Q145" s="1"/>
      <c r="R145" s="1"/>
      <c r="S145" s="22"/>
      <c r="T145" s="22"/>
      <c r="U145" s="1"/>
      <c r="V145" s="1"/>
      <c r="W145" s="23"/>
      <c r="X145" s="23"/>
      <c r="Y145" s="1"/>
      <c r="Z145" s="19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5" t="str">
        <f aca="false">IF(COUNTIF(AJ145:AT145,"Yes")=COLUMNS(AJ145:AT145),"Yes","No")</f>
        <v>No</v>
      </c>
      <c r="AV145" s="1"/>
      <c r="AW145" s="1"/>
      <c r="AX145" s="1"/>
      <c r="AY145" s="1"/>
    </row>
    <row r="146" customFormat="false" ht="14.25" hidden="false" customHeight="false" outlineLevel="0" collapsed="false">
      <c r="A146" s="5" t="n">
        <f aca="false">ROW()-1</f>
        <v>145</v>
      </c>
      <c r="J146" s="1"/>
      <c r="K146" s="12" t="str">
        <f aca="false">IFERROR(VLOOKUP(J146,Lists!$I$1:$J$21,2,FALSE()),"")</f>
        <v/>
      </c>
      <c r="L146" s="1"/>
      <c r="M146" s="1"/>
      <c r="N146" s="1"/>
      <c r="O146" s="1"/>
      <c r="P146" s="1"/>
      <c r="Q146" s="1"/>
      <c r="R146" s="1"/>
      <c r="S146" s="22"/>
      <c r="T146" s="22"/>
      <c r="U146" s="1"/>
      <c r="V146" s="1"/>
      <c r="W146" s="23"/>
      <c r="X146" s="23"/>
      <c r="Y146" s="1"/>
      <c r="Z146" s="19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5" t="str">
        <f aca="false">IF(COUNTIF(AJ146:AT146,"Yes")=COLUMNS(AJ146:AT146),"Yes","No")</f>
        <v>No</v>
      </c>
      <c r="AV146" s="1"/>
      <c r="AW146" s="1"/>
      <c r="AX146" s="1"/>
      <c r="AY146" s="1"/>
    </row>
    <row r="147" customFormat="false" ht="14.25" hidden="false" customHeight="false" outlineLevel="0" collapsed="false">
      <c r="A147" s="5" t="n">
        <f aca="false">ROW()-1</f>
        <v>146</v>
      </c>
      <c r="J147" s="1"/>
      <c r="K147" s="12" t="str">
        <f aca="false">IFERROR(VLOOKUP(J147,Lists!$I$1:$J$21,2,FALSE()),"")</f>
        <v/>
      </c>
      <c r="L147" s="1"/>
      <c r="M147" s="1"/>
      <c r="N147" s="1"/>
      <c r="O147" s="1"/>
      <c r="P147" s="1"/>
      <c r="Q147" s="1"/>
      <c r="R147" s="1"/>
      <c r="S147" s="22"/>
      <c r="T147" s="22"/>
      <c r="U147" s="1"/>
      <c r="V147" s="1"/>
      <c r="W147" s="23"/>
      <c r="X147" s="23"/>
      <c r="Y147" s="1"/>
      <c r="Z147" s="19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5" t="str">
        <f aca="false">IF(COUNTIF(AJ147:AT147,"Yes")=COLUMNS(AJ147:AT147),"Yes","No")</f>
        <v>No</v>
      </c>
      <c r="AV147" s="1"/>
      <c r="AW147" s="1"/>
      <c r="AX147" s="1"/>
      <c r="AY147" s="1"/>
    </row>
    <row r="148" customFormat="false" ht="14.25" hidden="false" customHeight="false" outlineLevel="0" collapsed="false">
      <c r="A148" s="5" t="n">
        <f aca="false">ROW()-1</f>
        <v>147</v>
      </c>
      <c r="J148" s="1"/>
      <c r="K148" s="12" t="str">
        <f aca="false">IFERROR(VLOOKUP(J148,Lists!$I$1:$J$21,2,FALSE()),"")</f>
        <v/>
      </c>
      <c r="L148" s="1"/>
      <c r="M148" s="1"/>
      <c r="N148" s="1"/>
      <c r="O148" s="1"/>
      <c r="P148" s="1"/>
      <c r="Q148" s="1"/>
      <c r="R148" s="1"/>
      <c r="S148" s="22"/>
      <c r="T148" s="22"/>
      <c r="U148" s="1"/>
      <c r="V148" s="1"/>
      <c r="W148" s="23"/>
      <c r="X148" s="23"/>
      <c r="Y148" s="1"/>
      <c r="Z148" s="19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5" t="str">
        <f aca="false">IF(COUNTIF(AJ148:AT148,"Yes")=COLUMNS(AJ148:AT148),"Yes","No")</f>
        <v>No</v>
      </c>
      <c r="AV148" s="1"/>
      <c r="AW148" s="1"/>
      <c r="AX148" s="1"/>
      <c r="AY148" s="1"/>
    </row>
    <row r="149" customFormat="false" ht="14.25" hidden="false" customHeight="false" outlineLevel="0" collapsed="false">
      <c r="A149" s="5" t="n">
        <f aca="false">ROW()-1</f>
        <v>148</v>
      </c>
      <c r="J149" s="1"/>
      <c r="K149" s="12" t="str">
        <f aca="false">IFERROR(VLOOKUP(J149,Lists!$I$1:$J$21,2,FALSE()),"")</f>
        <v/>
      </c>
      <c r="L149" s="1"/>
      <c r="M149" s="1"/>
      <c r="N149" s="1"/>
      <c r="O149" s="1"/>
      <c r="P149" s="1"/>
      <c r="Q149" s="1"/>
      <c r="R149" s="1"/>
      <c r="S149" s="22"/>
      <c r="T149" s="22"/>
      <c r="U149" s="1"/>
      <c r="V149" s="1"/>
      <c r="W149" s="23"/>
      <c r="X149" s="23"/>
      <c r="Y149" s="1"/>
      <c r="Z149" s="19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5" t="str">
        <f aca="false">IF(COUNTIF(AJ149:AT149,"Yes")=COLUMNS(AJ149:AT149),"Yes","No")</f>
        <v>No</v>
      </c>
      <c r="AV149" s="1"/>
      <c r="AW149" s="1"/>
      <c r="AX149" s="1"/>
      <c r="AY149" s="1"/>
    </row>
    <row r="150" customFormat="false" ht="14.25" hidden="false" customHeight="false" outlineLevel="0" collapsed="false">
      <c r="A150" s="5" t="n">
        <f aca="false">ROW()-1</f>
        <v>149</v>
      </c>
      <c r="J150" s="1"/>
      <c r="K150" s="12" t="str">
        <f aca="false">IFERROR(VLOOKUP(J150,Lists!$I$1:$J$21,2,FALSE()),"")</f>
        <v/>
      </c>
      <c r="L150" s="1"/>
      <c r="M150" s="1"/>
      <c r="N150" s="1"/>
      <c r="O150" s="1"/>
      <c r="P150" s="1"/>
      <c r="Q150" s="1"/>
      <c r="R150" s="1"/>
      <c r="S150" s="22"/>
      <c r="T150" s="22"/>
      <c r="U150" s="1"/>
      <c r="V150" s="1"/>
      <c r="W150" s="23"/>
      <c r="X150" s="23"/>
      <c r="Y150" s="1"/>
      <c r="Z150" s="19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5" t="str">
        <f aca="false">IF(COUNTIF(AJ150:AT150,"Yes")=COLUMNS(AJ150:AT150),"Yes","No")</f>
        <v>No</v>
      </c>
      <c r="AV150" s="1"/>
      <c r="AW150" s="1"/>
      <c r="AX150" s="1"/>
      <c r="AY150" s="1"/>
    </row>
    <row r="151" customFormat="false" ht="14.25" hidden="false" customHeight="false" outlineLevel="0" collapsed="false">
      <c r="A151" s="5" t="n">
        <f aca="false">ROW()-1</f>
        <v>150</v>
      </c>
      <c r="J151" s="1"/>
      <c r="K151" s="12" t="str">
        <f aca="false">IFERROR(VLOOKUP(J151,Lists!$I$1:$J$21,2,FALSE()),"")</f>
        <v/>
      </c>
      <c r="L151" s="1"/>
      <c r="M151" s="1"/>
      <c r="N151" s="1"/>
      <c r="O151" s="1"/>
      <c r="P151" s="1"/>
      <c r="Q151" s="1"/>
      <c r="R151" s="1"/>
      <c r="S151" s="22"/>
      <c r="T151" s="22"/>
      <c r="U151" s="1"/>
      <c r="V151" s="1"/>
      <c r="W151" s="23"/>
      <c r="X151" s="23"/>
      <c r="Y151" s="1"/>
      <c r="Z151" s="19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5" t="str">
        <f aca="false">IF(COUNTIF(AJ151:AT151,"Yes")=COLUMNS(AJ151:AT151),"Yes","No")</f>
        <v>No</v>
      </c>
      <c r="AV151" s="1"/>
      <c r="AW151" s="1"/>
      <c r="AX151" s="1"/>
      <c r="AY151" s="1"/>
    </row>
    <row r="152" customFormat="false" ht="14.25" hidden="false" customHeight="false" outlineLevel="0" collapsed="false">
      <c r="A152" s="5" t="n">
        <f aca="false">ROW()-1</f>
        <v>151</v>
      </c>
      <c r="J152" s="1"/>
      <c r="K152" s="12" t="str">
        <f aca="false">IFERROR(VLOOKUP(J152,Lists!$I$1:$J$21,2,FALSE()),"")</f>
        <v/>
      </c>
      <c r="L152" s="1"/>
      <c r="M152" s="1"/>
      <c r="N152" s="1"/>
      <c r="O152" s="1"/>
      <c r="P152" s="1"/>
      <c r="Q152" s="1"/>
      <c r="R152" s="1"/>
      <c r="S152" s="22"/>
      <c r="T152" s="22"/>
      <c r="U152" s="1"/>
      <c r="V152" s="1"/>
      <c r="W152" s="23"/>
      <c r="X152" s="23"/>
      <c r="Y152" s="1"/>
      <c r="Z152" s="19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5" t="str">
        <f aca="false">IF(COUNTIF(AJ152:AT152,"Yes")=COLUMNS(AJ152:AT152),"Yes","No")</f>
        <v>No</v>
      </c>
      <c r="AV152" s="1"/>
      <c r="AW152" s="1"/>
      <c r="AX152" s="1"/>
      <c r="AY152" s="1"/>
    </row>
    <row r="153" customFormat="false" ht="14.25" hidden="false" customHeight="false" outlineLevel="0" collapsed="false">
      <c r="A153" s="5" t="n">
        <f aca="false">ROW()-1</f>
        <v>152</v>
      </c>
      <c r="J153" s="1"/>
      <c r="K153" s="12" t="str">
        <f aca="false">IFERROR(VLOOKUP(J153,Lists!$I$1:$J$21,2,FALSE()),"")</f>
        <v/>
      </c>
      <c r="L153" s="1"/>
      <c r="M153" s="1"/>
      <c r="N153" s="1"/>
      <c r="O153" s="1"/>
      <c r="P153" s="1"/>
      <c r="Q153" s="1"/>
      <c r="R153" s="1"/>
      <c r="S153" s="22"/>
      <c r="T153" s="22"/>
      <c r="U153" s="1"/>
      <c r="V153" s="1"/>
      <c r="W153" s="23"/>
      <c r="X153" s="23"/>
      <c r="Y153" s="1"/>
      <c r="Z153" s="19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5" t="str">
        <f aca="false">IF(COUNTIF(AJ153:AT153,"Yes")=COLUMNS(AJ153:AT153),"Yes","No")</f>
        <v>No</v>
      </c>
      <c r="AV153" s="1"/>
      <c r="AW153" s="1"/>
      <c r="AX153" s="1"/>
      <c r="AY153" s="1"/>
    </row>
    <row r="154" customFormat="false" ht="14.25" hidden="false" customHeight="false" outlineLevel="0" collapsed="false">
      <c r="A154" s="5" t="n">
        <f aca="false">ROW()-1</f>
        <v>153</v>
      </c>
      <c r="J154" s="1"/>
      <c r="K154" s="12" t="str">
        <f aca="false">IFERROR(VLOOKUP(J154,Lists!$I$1:$J$21,2,FALSE()),"")</f>
        <v/>
      </c>
      <c r="L154" s="1"/>
      <c r="M154" s="1"/>
      <c r="N154" s="1"/>
      <c r="O154" s="1"/>
      <c r="P154" s="1"/>
      <c r="Q154" s="1"/>
      <c r="R154" s="1"/>
      <c r="S154" s="22"/>
      <c r="T154" s="22"/>
      <c r="U154" s="1"/>
      <c r="V154" s="1"/>
      <c r="W154" s="23"/>
      <c r="X154" s="23"/>
      <c r="Y154" s="1"/>
      <c r="Z154" s="19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5" t="str">
        <f aca="false">IF(COUNTIF(AJ154:AT154,"Yes")=COLUMNS(AJ154:AT154),"Yes","No")</f>
        <v>No</v>
      </c>
      <c r="AV154" s="1"/>
      <c r="AW154" s="1"/>
      <c r="AX154" s="1"/>
      <c r="AY154" s="1"/>
    </row>
    <row r="155" customFormat="false" ht="14.25" hidden="false" customHeight="false" outlineLevel="0" collapsed="false">
      <c r="A155" s="5" t="n">
        <f aca="false">ROW()-1</f>
        <v>154</v>
      </c>
      <c r="J155" s="1"/>
      <c r="K155" s="12" t="str">
        <f aca="false">IFERROR(VLOOKUP(J155,Lists!$I$1:$J$21,2,FALSE()),"")</f>
        <v/>
      </c>
      <c r="L155" s="1"/>
      <c r="M155" s="1"/>
      <c r="N155" s="1"/>
      <c r="O155" s="1"/>
      <c r="P155" s="1"/>
      <c r="Q155" s="1"/>
      <c r="R155" s="1"/>
      <c r="S155" s="22"/>
      <c r="T155" s="22"/>
      <c r="U155" s="1"/>
      <c r="V155" s="1"/>
      <c r="W155" s="23"/>
      <c r="X155" s="23"/>
      <c r="Y155" s="1"/>
      <c r="Z155" s="19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5" t="str">
        <f aca="false">IF(COUNTIF(AJ155:AT155,"Yes")=COLUMNS(AJ155:AT155),"Yes","No")</f>
        <v>No</v>
      </c>
      <c r="AV155" s="1"/>
      <c r="AW155" s="1"/>
      <c r="AX155" s="1"/>
      <c r="AY155" s="1"/>
    </row>
    <row r="156" customFormat="false" ht="14.25" hidden="false" customHeight="false" outlineLevel="0" collapsed="false">
      <c r="A156" s="5" t="n">
        <f aca="false">ROW()-1</f>
        <v>155</v>
      </c>
      <c r="J156" s="1"/>
      <c r="K156" s="12" t="str">
        <f aca="false">IFERROR(VLOOKUP(J156,Lists!$I$1:$J$21,2,FALSE()),"")</f>
        <v/>
      </c>
      <c r="L156" s="1"/>
      <c r="M156" s="1"/>
      <c r="N156" s="1"/>
      <c r="O156" s="1"/>
      <c r="P156" s="1"/>
      <c r="Q156" s="1"/>
      <c r="R156" s="1"/>
      <c r="S156" s="22"/>
      <c r="T156" s="22"/>
      <c r="U156" s="1"/>
      <c r="V156" s="1"/>
      <c r="W156" s="23"/>
      <c r="X156" s="23"/>
      <c r="Y156" s="1"/>
      <c r="Z156" s="19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5" t="str">
        <f aca="false">IF(COUNTIF(AJ156:AT156,"Yes")=COLUMNS(AJ156:AT156),"Yes","No")</f>
        <v>No</v>
      </c>
      <c r="AV156" s="1"/>
      <c r="AW156" s="1"/>
      <c r="AX156" s="1"/>
      <c r="AY156" s="1"/>
    </row>
    <row r="157" customFormat="false" ht="14.25" hidden="false" customHeight="false" outlineLevel="0" collapsed="false">
      <c r="A157" s="5" t="n">
        <f aca="false">ROW()-1</f>
        <v>156</v>
      </c>
      <c r="J157" s="1"/>
      <c r="K157" s="12" t="str">
        <f aca="false">IFERROR(VLOOKUP(J157,Lists!$I$1:$J$21,2,FALSE()),"")</f>
        <v/>
      </c>
      <c r="L157" s="1"/>
      <c r="M157" s="1"/>
      <c r="N157" s="1"/>
      <c r="O157" s="1"/>
      <c r="P157" s="1"/>
      <c r="Q157" s="1"/>
      <c r="R157" s="1"/>
      <c r="S157" s="22"/>
      <c r="T157" s="22"/>
      <c r="U157" s="1"/>
      <c r="V157" s="1"/>
      <c r="W157" s="23"/>
      <c r="X157" s="23"/>
      <c r="Y157" s="1"/>
      <c r="Z157" s="19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5" t="str">
        <f aca="false">IF(COUNTIF(AJ157:AT157,"Yes")=COLUMNS(AJ157:AT157),"Yes","No")</f>
        <v>No</v>
      </c>
      <c r="AV157" s="1"/>
      <c r="AW157" s="1"/>
      <c r="AX157" s="1"/>
      <c r="AY157" s="1"/>
    </row>
    <row r="158" customFormat="false" ht="14.25" hidden="false" customHeight="false" outlineLevel="0" collapsed="false">
      <c r="A158" s="5" t="n">
        <f aca="false">ROW()-1</f>
        <v>157</v>
      </c>
      <c r="J158" s="1"/>
      <c r="K158" s="12" t="str">
        <f aca="false">IFERROR(VLOOKUP(J158,Lists!$I$1:$J$21,2,FALSE()),"")</f>
        <v/>
      </c>
      <c r="L158" s="1"/>
      <c r="M158" s="1"/>
      <c r="N158" s="1"/>
      <c r="O158" s="1"/>
      <c r="P158" s="1"/>
      <c r="Q158" s="1"/>
      <c r="R158" s="1"/>
      <c r="S158" s="22"/>
      <c r="T158" s="22"/>
      <c r="U158" s="1"/>
      <c r="V158" s="1"/>
      <c r="W158" s="23"/>
      <c r="X158" s="23"/>
      <c r="Y158" s="1"/>
      <c r="Z158" s="19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5" t="str">
        <f aca="false">IF(COUNTIF(AJ158:AT158,"Yes")=COLUMNS(AJ158:AT158),"Yes","No")</f>
        <v>No</v>
      </c>
      <c r="AV158" s="1"/>
      <c r="AW158" s="1"/>
      <c r="AX158" s="1"/>
      <c r="AY158" s="1"/>
    </row>
    <row r="159" customFormat="false" ht="14.25" hidden="false" customHeight="false" outlineLevel="0" collapsed="false">
      <c r="A159" s="5" t="n">
        <f aca="false">ROW()-1</f>
        <v>158</v>
      </c>
      <c r="J159" s="1"/>
      <c r="K159" s="12" t="str">
        <f aca="false">IFERROR(VLOOKUP(J159,Lists!$I$1:$J$21,2,FALSE()),"")</f>
        <v/>
      </c>
      <c r="L159" s="1"/>
      <c r="M159" s="1"/>
      <c r="N159" s="1"/>
      <c r="O159" s="1"/>
      <c r="P159" s="1"/>
      <c r="Q159" s="1"/>
      <c r="R159" s="1"/>
      <c r="S159" s="22"/>
      <c r="T159" s="22"/>
      <c r="U159" s="1"/>
      <c r="V159" s="1"/>
      <c r="W159" s="23"/>
      <c r="X159" s="23"/>
      <c r="Y159" s="1"/>
      <c r="Z159" s="19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5" t="str">
        <f aca="false">IF(COUNTIF(AJ159:AT159,"Yes")=COLUMNS(AJ159:AT159),"Yes","No")</f>
        <v>No</v>
      </c>
      <c r="AV159" s="1"/>
      <c r="AW159" s="1"/>
      <c r="AX159" s="1"/>
      <c r="AY159" s="1"/>
    </row>
    <row r="160" customFormat="false" ht="14.25" hidden="false" customHeight="false" outlineLevel="0" collapsed="false">
      <c r="A160" s="5" t="n">
        <f aca="false">ROW()-1</f>
        <v>159</v>
      </c>
      <c r="J160" s="1"/>
      <c r="K160" s="12" t="str">
        <f aca="false">IFERROR(VLOOKUP(J160,Lists!$I$1:$J$21,2,FALSE()),"")</f>
        <v/>
      </c>
      <c r="L160" s="1"/>
      <c r="M160" s="1"/>
      <c r="N160" s="1"/>
      <c r="O160" s="1"/>
      <c r="P160" s="1"/>
      <c r="Q160" s="1"/>
      <c r="R160" s="1"/>
      <c r="S160" s="22"/>
      <c r="T160" s="22"/>
      <c r="U160" s="1"/>
      <c r="V160" s="1"/>
      <c r="W160" s="23"/>
      <c r="X160" s="23"/>
      <c r="Y160" s="1"/>
      <c r="Z160" s="19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5" t="str">
        <f aca="false">IF(COUNTIF(AJ160:AT160,"Yes")=COLUMNS(AJ160:AT160),"Yes","No")</f>
        <v>No</v>
      </c>
      <c r="AV160" s="1"/>
      <c r="AW160" s="1"/>
      <c r="AX160" s="1"/>
      <c r="AY160" s="1"/>
    </row>
    <row r="161" customFormat="false" ht="14.25" hidden="false" customHeight="false" outlineLevel="0" collapsed="false">
      <c r="A161" s="5" t="n">
        <f aca="false">ROW()-1</f>
        <v>160</v>
      </c>
      <c r="J161" s="1"/>
      <c r="K161" s="12" t="str">
        <f aca="false">IFERROR(VLOOKUP(J161,Lists!$I$1:$J$21,2,FALSE()),"")</f>
        <v/>
      </c>
      <c r="L161" s="1"/>
      <c r="M161" s="1"/>
      <c r="N161" s="1"/>
      <c r="O161" s="1"/>
      <c r="P161" s="1"/>
      <c r="Q161" s="1"/>
      <c r="R161" s="1"/>
      <c r="S161" s="22"/>
      <c r="T161" s="22"/>
      <c r="U161" s="1"/>
      <c r="V161" s="1"/>
      <c r="W161" s="23"/>
      <c r="X161" s="23"/>
      <c r="Y161" s="1"/>
      <c r="Z161" s="19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5" t="str">
        <f aca="false">IF(COUNTIF(AJ161:AT161,"Yes")=COLUMNS(AJ161:AT161),"Yes","No")</f>
        <v>No</v>
      </c>
      <c r="AV161" s="1"/>
      <c r="AW161" s="1"/>
      <c r="AX161" s="1"/>
      <c r="AY161" s="1"/>
    </row>
    <row r="162" customFormat="false" ht="14.25" hidden="false" customHeight="false" outlineLevel="0" collapsed="false">
      <c r="A162" s="5" t="n">
        <f aca="false">ROW()-1</f>
        <v>161</v>
      </c>
      <c r="J162" s="1"/>
      <c r="K162" s="12" t="str">
        <f aca="false">IFERROR(VLOOKUP(J162,Lists!$I$1:$J$21,2,FALSE()),"")</f>
        <v/>
      </c>
      <c r="L162" s="1"/>
      <c r="M162" s="1"/>
      <c r="N162" s="1"/>
      <c r="O162" s="1"/>
      <c r="P162" s="1"/>
      <c r="Q162" s="1"/>
      <c r="R162" s="1"/>
      <c r="S162" s="22"/>
      <c r="T162" s="22"/>
      <c r="U162" s="1"/>
      <c r="V162" s="1"/>
      <c r="W162" s="23"/>
      <c r="X162" s="23"/>
      <c r="Y162" s="1"/>
      <c r="Z162" s="19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5" t="str">
        <f aca="false">IF(COUNTIF(AJ162:AT162,"Yes")=COLUMNS(AJ162:AT162),"Yes","No")</f>
        <v>No</v>
      </c>
      <c r="AV162" s="1"/>
      <c r="AW162" s="1"/>
      <c r="AX162" s="1"/>
      <c r="AY162" s="1"/>
    </row>
    <row r="163" customFormat="false" ht="14.25" hidden="false" customHeight="false" outlineLevel="0" collapsed="false">
      <c r="A163" s="5" t="n">
        <f aca="false">ROW()-1</f>
        <v>162</v>
      </c>
      <c r="J163" s="1"/>
      <c r="K163" s="12" t="str">
        <f aca="false">IFERROR(VLOOKUP(J163,Lists!$I$1:$J$21,2,FALSE()),"")</f>
        <v/>
      </c>
      <c r="L163" s="1"/>
      <c r="M163" s="1"/>
      <c r="N163" s="1"/>
      <c r="O163" s="1"/>
      <c r="P163" s="1"/>
      <c r="Q163" s="1"/>
      <c r="R163" s="1"/>
      <c r="S163" s="22"/>
      <c r="T163" s="22"/>
      <c r="U163" s="1"/>
      <c r="V163" s="1"/>
      <c r="W163" s="23"/>
      <c r="X163" s="23"/>
      <c r="Y163" s="1"/>
      <c r="Z163" s="19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5" t="str">
        <f aca="false">IF(COUNTIF(AJ163:AT163,"Yes")=COLUMNS(AJ163:AT163),"Yes","No")</f>
        <v>No</v>
      </c>
      <c r="AV163" s="1"/>
      <c r="AW163" s="1"/>
      <c r="AX163" s="1"/>
      <c r="AY163" s="1"/>
    </row>
    <row r="164" customFormat="false" ht="14.25" hidden="false" customHeight="false" outlineLevel="0" collapsed="false">
      <c r="A164" s="5" t="n">
        <f aca="false">ROW()-1</f>
        <v>163</v>
      </c>
      <c r="J164" s="1"/>
      <c r="K164" s="12" t="str">
        <f aca="false">IFERROR(VLOOKUP(J164,Lists!$I$1:$J$21,2,FALSE()),"")</f>
        <v/>
      </c>
      <c r="L164" s="1"/>
      <c r="M164" s="1"/>
      <c r="N164" s="1"/>
      <c r="O164" s="1"/>
      <c r="P164" s="1"/>
      <c r="Q164" s="1"/>
      <c r="R164" s="1"/>
      <c r="S164" s="22"/>
      <c r="T164" s="22"/>
      <c r="U164" s="1"/>
      <c r="V164" s="1"/>
      <c r="W164" s="23"/>
      <c r="X164" s="23"/>
      <c r="Y164" s="1"/>
      <c r="Z164" s="19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5" t="str">
        <f aca="false">IF(COUNTIF(AJ164:AT164,"Yes")=COLUMNS(AJ164:AT164),"Yes","No")</f>
        <v>No</v>
      </c>
      <c r="AV164" s="1"/>
      <c r="AW164" s="1"/>
      <c r="AX164" s="1"/>
      <c r="AY164" s="1"/>
    </row>
    <row r="165" customFormat="false" ht="14.25" hidden="false" customHeight="false" outlineLevel="0" collapsed="false">
      <c r="A165" s="5" t="n">
        <f aca="false">ROW()-1</f>
        <v>164</v>
      </c>
      <c r="J165" s="1"/>
      <c r="K165" s="12" t="str">
        <f aca="false">IFERROR(VLOOKUP(J165,Lists!$I$1:$J$21,2,FALSE()),"")</f>
        <v/>
      </c>
      <c r="L165" s="1"/>
      <c r="M165" s="1"/>
      <c r="N165" s="1"/>
      <c r="O165" s="1"/>
      <c r="P165" s="1"/>
      <c r="Q165" s="1"/>
      <c r="R165" s="1"/>
      <c r="S165" s="22"/>
      <c r="T165" s="22"/>
      <c r="U165" s="1"/>
      <c r="V165" s="1"/>
      <c r="W165" s="23"/>
      <c r="X165" s="23"/>
      <c r="Y165" s="1"/>
      <c r="Z165" s="19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5" t="str">
        <f aca="false">IF(COUNTIF(AJ165:AT165,"Yes")=COLUMNS(AJ165:AT165),"Yes","No")</f>
        <v>No</v>
      </c>
      <c r="AV165" s="1"/>
      <c r="AW165" s="1"/>
      <c r="AX165" s="1"/>
      <c r="AY165" s="1"/>
    </row>
    <row r="166" customFormat="false" ht="14.25" hidden="false" customHeight="false" outlineLevel="0" collapsed="false">
      <c r="A166" s="5" t="n">
        <f aca="false">ROW()-1</f>
        <v>165</v>
      </c>
      <c r="J166" s="1"/>
      <c r="K166" s="12" t="str">
        <f aca="false">IFERROR(VLOOKUP(J166,Lists!$I$1:$J$21,2,FALSE()),"")</f>
        <v/>
      </c>
      <c r="L166" s="1"/>
      <c r="M166" s="1"/>
      <c r="N166" s="1"/>
      <c r="O166" s="1"/>
      <c r="P166" s="1"/>
      <c r="Q166" s="1"/>
      <c r="R166" s="1"/>
      <c r="S166" s="22"/>
      <c r="T166" s="22"/>
      <c r="U166" s="1"/>
      <c r="V166" s="1"/>
      <c r="W166" s="23"/>
      <c r="X166" s="23"/>
      <c r="Y166" s="1"/>
      <c r="Z166" s="19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5" t="str">
        <f aca="false">IF(COUNTIF(AJ166:AT166,"Yes")=COLUMNS(AJ166:AT166),"Yes","No")</f>
        <v>No</v>
      </c>
      <c r="AV166" s="1"/>
      <c r="AW166" s="1"/>
      <c r="AX166" s="1"/>
      <c r="AY166" s="1"/>
    </row>
    <row r="167" customFormat="false" ht="14.25" hidden="false" customHeight="false" outlineLevel="0" collapsed="false">
      <c r="A167" s="5" t="n">
        <f aca="false">ROW()-1</f>
        <v>166</v>
      </c>
      <c r="J167" s="1"/>
      <c r="K167" s="12" t="str">
        <f aca="false">IFERROR(VLOOKUP(J167,Lists!$I$1:$J$21,2,FALSE()),"")</f>
        <v/>
      </c>
      <c r="L167" s="1"/>
      <c r="M167" s="1"/>
      <c r="N167" s="1"/>
      <c r="O167" s="1"/>
      <c r="P167" s="1"/>
      <c r="Q167" s="1"/>
      <c r="R167" s="1"/>
      <c r="S167" s="22"/>
      <c r="T167" s="22"/>
      <c r="U167" s="1"/>
      <c r="V167" s="1"/>
      <c r="W167" s="23"/>
      <c r="X167" s="23"/>
      <c r="Y167" s="1"/>
      <c r="Z167" s="19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5" t="str">
        <f aca="false">IF(COUNTIF(AJ167:AT167,"Yes")=COLUMNS(AJ167:AT167),"Yes","No")</f>
        <v>No</v>
      </c>
      <c r="AV167" s="1"/>
      <c r="AW167" s="1"/>
      <c r="AX167" s="1"/>
      <c r="AY167" s="1"/>
    </row>
    <row r="168" customFormat="false" ht="14.25" hidden="false" customHeight="false" outlineLevel="0" collapsed="false">
      <c r="A168" s="5" t="n">
        <f aca="false">ROW()-1</f>
        <v>167</v>
      </c>
      <c r="J168" s="1"/>
      <c r="K168" s="12" t="str">
        <f aca="false">IFERROR(VLOOKUP(J168,Lists!$I$1:$J$21,2,FALSE()),"")</f>
        <v/>
      </c>
      <c r="L168" s="1"/>
      <c r="M168" s="1"/>
      <c r="N168" s="1"/>
      <c r="O168" s="1"/>
      <c r="P168" s="1"/>
      <c r="Q168" s="1"/>
      <c r="R168" s="1"/>
      <c r="S168" s="22"/>
      <c r="T168" s="22"/>
      <c r="U168" s="1"/>
      <c r="V168" s="1"/>
      <c r="W168" s="23"/>
      <c r="X168" s="23"/>
      <c r="Y168" s="1"/>
      <c r="Z168" s="19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5" t="str">
        <f aca="false">IF(COUNTIF(AJ168:AT168,"Yes")=COLUMNS(AJ168:AT168),"Yes","No")</f>
        <v>No</v>
      </c>
      <c r="AV168" s="1"/>
      <c r="AW168" s="1"/>
      <c r="AX168" s="1"/>
      <c r="AY168" s="1"/>
    </row>
    <row r="169" customFormat="false" ht="14.25" hidden="false" customHeight="false" outlineLevel="0" collapsed="false">
      <c r="A169" s="5" t="n">
        <f aca="false">ROW()-1</f>
        <v>168</v>
      </c>
      <c r="J169" s="1"/>
      <c r="K169" s="12" t="str">
        <f aca="false">IFERROR(VLOOKUP(J169,Lists!$I$1:$J$21,2,FALSE()),"")</f>
        <v/>
      </c>
      <c r="L169" s="1"/>
      <c r="M169" s="1"/>
      <c r="N169" s="1"/>
      <c r="O169" s="1"/>
      <c r="P169" s="1"/>
      <c r="Q169" s="1"/>
      <c r="R169" s="1"/>
      <c r="S169" s="22"/>
      <c r="T169" s="22"/>
      <c r="U169" s="1"/>
      <c r="V169" s="1"/>
      <c r="W169" s="23"/>
      <c r="X169" s="23"/>
      <c r="Y169" s="1"/>
      <c r="Z169" s="19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5" t="str">
        <f aca="false">IF(COUNTIF(AJ169:AT169,"Yes")=COLUMNS(AJ169:AT169),"Yes","No")</f>
        <v>No</v>
      </c>
      <c r="AV169" s="1"/>
      <c r="AW169" s="1"/>
      <c r="AX169" s="1"/>
      <c r="AY169" s="1"/>
    </row>
    <row r="170" customFormat="false" ht="14.25" hidden="false" customHeight="false" outlineLevel="0" collapsed="false">
      <c r="A170" s="5" t="n">
        <f aca="false">ROW()-1</f>
        <v>169</v>
      </c>
      <c r="J170" s="1"/>
      <c r="K170" s="12" t="str">
        <f aca="false">IFERROR(VLOOKUP(J170,Lists!$I$1:$J$21,2,FALSE()),"")</f>
        <v/>
      </c>
      <c r="L170" s="1"/>
      <c r="M170" s="1"/>
      <c r="N170" s="1"/>
      <c r="O170" s="1"/>
      <c r="P170" s="1"/>
      <c r="Q170" s="1"/>
      <c r="R170" s="1"/>
      <c r="S170" s="22"/>
      <c r="T170" s="22"/>
      <c r="U170" s="1"/>
      <c r="V170" s="1"/>
      <c r="W170" s="23"/>
      <c r="X170" s="23"/>
      <c r="Y170" s="1"/>
      <c r="Z170" s="19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5" t="str">
        <f aca="false">IF(COUNTIF(AJ170:AT170,"Yes")=COLUMNS(AJ170:AT170),"Yes","No")</f>
        <v>No</v>
      </c>
      <c r="AV170" s="1"/>
      <c r="AW170" s="1"/>
      <c r="AX170" s="1"/>
      <c r="AY170" s="1"/>
    </row>
    <row r="171" customFormat="false" ht="14.25" hidden="false" customHeight="false" outlineLevel="0" collapsed="false">
      <c r="A171" s="5" t="n">
        <f aca="false">ROW()-1</f>
        <v>170</v>
      </c>
      <c r="J171" s="1"/>
      <c r="K171" s="12" t="str">
        <f aca="false">IFERROR(VLOOKUP(J171,Lists!$I$1:$J$21,2,FALSE()),"")</f>
        <v/>
      </c>
      <c r="L171" s="1"/>
      <c r="M171" s="1"/>
      <c r="N171" s="1"/>
      <c r="O171" s="1"/>
      <c r="P171" s="1"/>
      <c r="Q171" s="1"/>
      <c r="R171" s="1"/>
      <c r="S171" s="22"/>
      <c r="T171" s="22"/>
      <c r="U171" s="1"/>
      <c r="V171" s="1"/>
      <c r="W171" s="23"/>
      <c r="X171" s="23"/>
      <c r="Y171" s="1"/>
      <c r="Z171" s="19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5" t="str">
        <f aca="false">IF(COUNTIF(AJ171:AT171,"Yes")=COLUMNS(AJ171:AT171),"Yes","No")</f>
        <v>No</v>
      </c>
      <c r="AV171" s="1"/>
      <c r="AW171" s="1"/>
      <c r="AX171" s="1"/>
      <c r="AY171" s="1"/>
    </row>
    <row r="172" customFormat="false" ht="14.25" hidden="false" customHeight="false" outlineLevel="0" collapsed="false">
      <c r="A172" s="5" t="n">
        <f aca="false">ROW()-1</f>
        <v>171</v>
      </c>
      <c r="J172" s="1"/>
      <c r="K172" s="12" t="str">
        <f aca="false">IFERROR(VLOOKUP(J172,Lists!$I$1:$J$21,2,FALSE()),"")</f>
        <v/>
      </c>
      <c r="L172" s="1"/>
      <c r="M172" s="1"/>
      <c r="N172" s="1"/>
      <c r="O172" s="1"/>
      <c r="P172" s="1"/>
      <c r="Q172" s="1"/>
      <c r="R172" s="1"/>
      <c r="S172" s="22"/>
      <c r="T172" s="22"/>
      <c r="U172" s="1"/>
      <c r="V172" s="1"/>
      <c r="W172" s="23"/>
      <c r="X172" s="23"/>
      <c r="Y172" s="1"/>
      <c r="Z172" s="19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5" t="str">
        <f aca="false">IF(COUNTIF(AJ172:AT172,"Yes")=COLUMNS(AJ172:AT172),"Yes","No")</f>
        <v>No</v>
      </c>
      <c r="AV172" s="1"/>
      <c r="AW172" s="1"/>
      <c r="AX172" s="1"/>
      <c r="AY172" s="1"/>
    </row>
    <row r="173" customFormat="false" ht="14.25" hidden="false" customHeight="false" outlineLevel="0" collapsed="false">
      <c r="A173" s="5" t="n">
        <f aca="false">ROW()-1</f>
        <v>172</v>
      </c>
      <c r="J173" s="1"/>
      <c r="K173" s="12" t="str">
        <f aca="false">IFERROR(VLOOKUP(J173,Lists!$I$1:$J$21,2,FALSE()),"")</f>
        <v/>
      </c>
      <c r="L173" s="1"/>
      <c r="M173" s="1"/>
      <c r="N173" s="1"/>
      <c r="O173" s="1"/>
      <c r="P173" s="1"/>
      <c r="Q173" s="1"/>
      <c r="R173" s="1"/>
      <c r="S173" s="22"/>
      <c r="T173" s="22"/>
      <c r="U173" s="1"/>
      <c r="V173" s="1"/>
      <c r="W173" s="23"/>
      <c r="X173" s="23"/>
      <c r="Y173" s="1"/>
      <c r="Z173" s="19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5" t="str">
        <f aca="false">IF(COUNTIF(AJ173:AT173,"Yes")=COLUMNS(AJ173:AT173),"Yes","No")</f>
        <v>No</v>
      </c>
      <c r="AV173" s="1"/>
      <c r="AW173" s="1"/>
      <c r="AX173" s="1"/>
      <c r="AY173" s="1"/>
    </row>
    <row r="174" customFormat="false" ht="14.25" hidden="false" customHeight="false" outlineLevel="0" collapsed="false">
      <c r="A174" s="5" t="n">
        <f aca="false">ROW()-1</f>
        <v>173</v>
      </c>
      <c r="J174" s="1"/>
      <c r="K174" s="12" t="str">
        <f aca="false">IFERROR(VLOOKUP(J174,Lists!$I$1:$J$21,2,FALSE()),"")</f>
        <v/>
      </c>
      <c r="L174" s="1"/>
      <c r="M174" s="1"/>
      <c r="N174" s="1"/>
      <c r="O174" s="1"/>
      <c r="P174" s="1"/>
      <c r="Q174" s="1"/>
      <c r="R174" s="1"/>
      <c r="S174" s="22"/>
      <c r="T174" s="22"/>
      <c r="U174" s="1"/>
      <c r="V174" s="1"/>
      <c r="W174" s="23"/>
      <c r="X174" s="23"/>
      <c r="Y174" s="1"/>
      <c r="Z174" s="19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5" t="str">
        <f aca="false">IF(COUNTIF(AJ174:AT174,"Yes")=COLUMNS(AJ174:AT174),"Yes","No")</f>
        <v>No</v>
      </c>
      <c r="AV174" s="1"/>
      <c r="AW174" s="1"/>
      <c r="AX174" s="1"/>
      <c r="AY174" s="1"/>
    </row>
    <row r="175" customFormat="false" ht="14.25" hidden="false" customHeight="false" outlineLevel="0" collapsed="false">
      <c r="A175" s="5" t="n">
        <f aca="false">ROW()-1</f>
        <v>174</v>
      </c>
      <c r="J175" s="1"/>
      <c r="K175" s="12" t="str">
        <f aca="false">IFERROR(VLOOKUP(J175,Lists!$I$1:$J$21,2,FALSE()),"")</f>
        <v/>
      </c>
      <c r="L175" s="1"/>
      <c r="M175" s="1"/>
      <c r="N175" s="1"/>
      <c r="O175" s="1"/>
      <c r="P175" s="1"/>
      <c r="Q175" s="1"/>
      <c r="R175" s="1"/>
      <c r="S175" s="22"/>
      <c r="T175" s="22"/>
      <c r="U175" s="1"/>
      <c r="V175" s="1"/>
      <c r="W175" s="23"/>
      <c r="X175" s="23"/>
      <c r="Y175" s="1"/>
      <c r="Z175" s="19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5" t="str">
        <f aca="false">IF(COUNTIF(AJ175:AT175,"Yes")=COLUMNS(AJ175:AT175),"Yes","No")</f>
        <v>No</v>
      </c>
      <c r="AV175" s="1"/>
      <c r="AW175" s="1"/>
      <c r="AX175" s="1"/>
      <c r="AY175" s="1"/>
    </row>
    <row r="176" customFormat="false" ht="14.25" hidden="false" customHeight="false" outlineLevel="0" collapsed="false">
      <c r="A176" s="5" t="n">
        <f aca="false">ROW()-1</f>
        <v>175</v>
      </c>
      <c r="J176" s="1"/>
      <c r="K176" s="12" t="str">
        <f aca="false">IFERROR(VLOOKUP(J176,Lists!$I$1:$J$21,2,FALSE()),"")</f>
        <v/>
      </c>
      <c r="L176" s="1"/>
      <c r="M176" s="1"/>
      <c r="N176" s="1"/>
      <c r="O176" s="1"/>
      <c r="P176" s="1"/>
      <c r="Q176" s="1"/>
      <c r="R176" s="1"/>
      <c r="S176" s="22"/>
      <c r="T176" s="22"/>
      <c r="U176" s="1"/>
      <c r="V176" s="1"/>
      <c r="W176" s="23"/>
      <c r="X176" s="23"/>
      <c r="Y176" s="1"/>
      <c r="Z176" s="19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5" t="str">
        <f aca="false">IF(COUNTIF(AJ176:AT176,"Yes")=COLUMNS(AJ176:AT176),"Yes","No")</f>
        <v>No</v>
      </c>
      <c r="AV176" s="1"/>
      <c r="AW176" s="1"/>
      <c r="AX176" s="1"/>
      <c r="AY176" s="1"/>
    </row>
    <row r="177" customFormat="false" ht="14.25" hidden="false" customHeight="false" outlineLevel="0" collapsed="false">
      <c r="A177" s="5" t="n">
        <f aca="false">ROW()-1</f>
        <v>176</v>
      </c>
      <c r="J177" s="1"/>
      <c r="K177" s="12" t="str">
        <f aca="false">IFERROR(VLOOKUP(J177,Lists!$I$1:$J$21,2,FALSE()),"")</f>
        <v/>
      </c>
      <c r="L177" s="1"/>
      <c r="M177" s="1"/>
      <c r="N177" s="1"/>
      <c r="O177" s="1"/>
      <c r="P177" s="1"/>
      <c r="Q177" s="1"/>
      <c r="R177" s="1"/>
      <c r="S177" s="22"/>
      <c r="T177" s="22"/>
      <c r="U177" s="1"/>
      <c r="V177" s="1"/>
      <c r="W177" s="23"/>
      <c r="X177" s="23"/>
      <c r="Y177" s="1"/>
      <c r="Z177" s="19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5" t="str">
        <f aca="false">IF(COUNTIF(AJ177:AT177,"Yes")=COLUMNS(AJ177:AT177),"Yes","No")</f>
        <v>No</v>
      </c>
      <c r="AV177" s="1"/>
      <c r="AW177" s="1"/>
      <c r="AX177" s="1"/>
      <c r="AY177" s="1"/>
    </row>
    <row r="178" customFormat="false" ht="14.25" hidden="false" customHeight="false" outlineLevel="0" collapsed="false">
      <c r="A178" s="5" t="n">
        <f aca="false">ROW()-1</f>
        <v>177</v>
      </c>
      <c r="J178" s="1"/>
      <c r="K178" s="12" t="str">
        <f aca="false">IFERROR(VLOOKUP(J178,Lists!$I$1:$J$21,2,FALSE()),"")</f>
        <v/>
      </c>
      <c r="L178" s="1"/>
      <c r="M178" s="1"/>
      <c r="N178" s="1"/>
      <c r="O178" s="1"/>
      <c r="P178" s="1"/>
      <c r="Q178" s="1"/>
      <c r="R178" s="1"/>
      <c r="S178" s="22"/>
      <c r="T178" s="22"/>
      <c r="U178" s="1"/>
      <c r="V178" s="1"/>
      <c r="W178" s="23"/>
      <c r="X178" s="23"/>
      <c r="Y178" s="1"/>
      <c r="Z178" s="19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5" t="str">
        <f aca="false">IF(COUNTIF(AJ178:AT178,"Yes")=COLUMNS(AJ178:AT178),"Yes","No")</f>
        <v>No</v>
      </c>
      <c r="AV178" s="1"/>
      <c r="AW178" s="1"/>
      <c r="AX178" s="1"/>
      <c r="AY178" s="1"/>
    </row>
    <row r="179" customFormat="false" ht="14.25" hidden="false" customHeight="false" outlineLevel="0" collapsed="false">
      <c r="A179" s="5" t="n">
        <f aca="false">ROW()-1</f>
        <v>178</v>
      </c>
      <c r="J179" s="1"/>
      <c r="K179" s="12" t="str">
        <f aca="false">IFERROR(VLOOKUP(J179,Lists!$I$1:$J$21,2,FALSE()),"")</f>
        <v/>
      </c>
      <c r="L179" s="1"/>
      <c r="M179" s="1"/>
      <c r="N179" s="1"/>
      <c r="O179" s="1"/>
      <c r="P179" s="1"/>
      <c r="Q179" s="1"/>
      <c r="R179" s="1"/>
      <c r="S179" s="22"/>
      <c r="T179" s="22"/>
      <c r="U179" s="1"/>
      <c r="V179" s="1"/>
      <c r="W179" s="23"/>
      <c r="X179" s="23"/>
      <c r="Y179" s="1"/>
      <c r="Z179" s="19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5" t="str">
        <f aca="false">IF(COUNTIF(AJ179:AT179,"Yes")=COLUMNS(AJ179:AT179),"Yes","No")</f>
        <v>No</v>
      </c>
      <c r="AV179" s="1"/>
      <c r="AW179" s="1"/>
      <c r="AX179" s="1"/>
      <c r="AY179" s="1"/>
    </row>
    <row r="180" customFormat="false" ht="14.25" hidden="false" customHeight="false" outlineLevel="0" collapsed="false">
      <c r="A180" s="5" t="n">
        <f aca="false">ROW()-1</f>
        <v>179</v>
      </c>
      <c r="J180" s="1"/>
      <c r="K180" s="12" t="str">
        <f aca="false">IFERROR(VLOOKUP(J180,Lists!$I$1:$J$21,2,FALSE()),"")</f>
        <v/>
      </c>
      <c r="L180" s="1"/>
      <c r="M180" s="1"/>
      <c r="N180" s="1"/>
      <c r="O180" s="1"/>
      <c r="P180" s="1"/>
      <c r="Q180" s="1"/>
      <c r="R180" s="1"/>
      <c r="S180" s="22"/>
      <c r="T180" s="22"/>
      <c r="U180" s="1"/>
      <c r="V180" s="1"/>
      <c r="W180" s="23"/>
      <c r="X180" s="23"/>
      <c r="Y180" s="1"/>
      <c r="Z180" s="19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5" t="str">
        <f aca="false">IF(COUNTIF(AJ180:AT180,"Yes")=COLUMNS(AJ180:AT180),"Yes","No")</f>
        <v>No</v>
      </c>
      <c r="AV180" s="1"/>
      <c r="AW180" s="1"/>
      <c r="AX180" s="1"/>
      <c r="AY180" s="1"/>
    </row>
    <row r="181" customFormat="false" ht="14.25" hidden="false" customHeight="false" outlineLevel="0" collapsed="false">
      <c r="A181" s="5" t="n">
        <f aca="false">ROW()-1</f>
        <v>180</v>
      </c>
      <c r="J181" s="1"/>
      <c r="K181" s="12" t="str">
        <f aca="false">IFERROR(VLOOKUP(J181,Lists!$I$1:$J$21,2,FALSE()),"")</f>
        <v/>
      </c>
      <c r="L181" s="1"/>
      <c r="M181" s="1"/>
      <c r="N181" s="1"/>
      <c r="O181" s="1"/>
      <c r="P181" s="1"/>
      <c r="Q181" s="1"/>
      <c r="R181" s="1"/>
      <c r="S181" s="22"/>
      <c r="T181" s="22"/>
      <c r="U181" s="1"/>
      <c r="V181" s="1"/>
      <c r="W181" s="23"/>
      <c r="X181" s="23"/>
      <c r="Y181" s="1"/>
      <c r="Z181" s="19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5" t="str">
        <f aca="false">IF(COUNTIF(AJ181:AT181,"Yes")=COLUMNS(AJ181:AT181),"Yes","No")</f>
        <v>No</v>
      </c>
      <c r="AV181" s="1"/>
      <c r="AW181" s="1"/>
      <c r="AX181" s="1"/>
      <c r="AY181" s="1"/>
    </row>
    <row r="182" customFormat="false" ht="14.25" hidden="false" customHeight="false" outlineLevel="0" collapsed="false">
      <c r="A182" s="5" t="n">
        <f aca="false">ROW()-1</f>
        <v>181</v>
      </c>
      <c r="J182" s="1"/>
      <c r="K182" s="12" t="str">
        <f aca="false">IFERROR(VLOOKUP(J182,Lists!$I$1:$J$21,2,FALSE()),"")</f>
        <v/>
      </c>
      <c r="L182" s="1"/>
      <c r="M182" s="1"/>
      <c r="N182" s="1"/>
      <c r="O182" s="1"/>
      <c r="P182" s="1"/>
      <c r="Q182" s="1"/>
      <c r="R182" s="1"/>
      <c r="S182" s="22"/>
      <c r="T182" s="22"/>
      <c r="U182" s="1"/>
      <c r="V182" s="1"/>
      <c r="W182" s="23"/>
      <c r="X182" s="23"/>
      <c r="Y182" s="1"/>
      <c r="Z182" s="19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5" t="str">
        <f aca="false">IF(COUNTIF(AJ182:AT182,"Yes")=COLUMNS(AJ182:AT182),"Yes","No")</f>
        <v>No</v>
      </c>
      <c r="AV182" s="1"/>
      <c r="AW182" s="1"/>
      <c r="AX182" s="1"/>
      <c r="AY182" s="1"/>
    </row>
    <row r="183" customFormat="false" ht="14.25" hidden="false" customHeight="false" outlineLevel="0" collapsed="false">
      <c r="A183" s="5" t="n">
        <f aca="false">ROW()-1</f>
        <v>182</v>
      </c>
      <c r="J183" s="1"/>
      <c r="K183" s="12" t="str">
        <f aca="false">IFERROR(VLOOKUP(J183,Lists!$I$1:$J$21,2,FALSE()),"")</f>
        <v/>
      </c>
      <c r="L183" s="1"/>
      <c r="M183" s="1"/>
      <c r="N183" s="1"/>
      <c r="O183" s="1"/>
      <c r="P183" s="1"/>
      <c r="Q183" s="1"/>
      <c r="R183" s="1"/>
      <c r="S183" s="22"/>
      <c r="T183" s="22"/>
      <c r="U183" s="1"/>
      <c r="V183" s="1"/>
      <c r="W183" s="23"/>
      <c r="X183" s="23"/>
      <c r="Y183" s="1"/>
      <c r="Z183" s="19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5" t="str">
        <f aca="false">IF(COUNTIF(AJ183:AT183,"Yes")=COLUMNS(AJ183:AT183),"Yes","No")</f>
        <v>No</v>
      </c>
      <c r="AV183" s="1"/>
      <c r="AW183" s="1"/>
      <c r="AX183" s="1"/>
      <c r="AY183" s="1"/>
    </row>
    <row r="184" customFormat="false" ht="14.25" hidden="false" customHeight="false" outlineLevel="0" collapsed="false">
      <c r="A184" s="5" t="n">
        <f aca="false">ROW()-1</f>
        <v>183</v>
      </c>
      <c r="J184" s="1"/>
      <c r="K184" s="12" t="str">
        <f aca="false">IFERROR(VLOOKUP(J184,Lists!$I$1:$J$21,2,FALSE()),"")</f>
        <v/>
      </c>
      <c r="L184" s="1"/>
      <c r="M184" s="1"/>
      <c r="N184" s="1"/>
      <c r="O184" s="1"/>
      <c r="P184" s="1"/>
      <c r="Q184" s="1"/>
      <c r="R184" s="1"/>
      <c r="S184" s="22"/>
      <c r="T184" s="22"/>
      <c r="U184" s="1"/>
      <c r="V184" s="1"/>
      <c r="W184" s="23"/>
      <c r="X184" s="23"/>
      <c r="Y184" s="1"/>
      <c r="Z184" s="19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5" t="str">
        <f aca="false">IF(COUNTIF(AJ184:AT184,"Yes")=COLUMNS(AJ184:AT184),"Yes","No")</f>
        <v>No</v>
      </c>
      <c r="AV184" s="1"/>
      <c r="AW184" s="1"/>
      <c r="AX184" s="1"/>
      <c r="AY184" s="1"/>
    </row>
    <row r="185" customFormat="false" ht="14.25" hidden="false" customHeight="false" outlineLevel="0" collapsed="false">
      <c r="A185" s="5" t="n">
        <f aca="false">ROW()-1</f>
        <v>184</v>
      </c>
      <c r="J185" s="1"/>
      <c r="K185" s="12" t="str">
        <f aca="false">IFERROR(VLOOKUP(J185,Lists!$I$1:$J$21,2,FALSE()),"")</f>
        <v/>
      </c>
      <c r="L185" s="1"/>
      <c r="M185" s="1"/>
      <c r="N185" s="1"/>
      <c r="O185" s="1"/>
      <c r="P185" s="1"/>
      <c r="Q185" s="1"/>
      <c r="R185" s="1"/>
      <c r="S185" s="22"/>
      <c r="T185" s="22"/>
      <c r="U185" s="1"/>
      <c r="V185" s="1"/>
      <c r="W185" s="23"/>
      <c r="X185" s="23"/>
      <c r="Y185" s="1"/>
      <c r="Z185" s="19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5" t="str">
        <f aca="false">IF(COUNTIF(AJ185:AT185,"Yes")=COLUMNS(AJ185:AT185),"Yes","No")</f>
        <v>No</v>
      </c>
      <c r="AV185" s="1"/>
      <c r="AW185" s="1"/>
      <c r="AX185" s="1"/>
      <c r="AY185" s="1"/>
    </row>
    <row r="186" customFormat="false" ht="14.25" hidden="false" customHeight="false" outlineLevel="0" collapsed="false">
      <c r="A186" s="5" t="n">
        <f aca="false">ROW()-1</f>
        <v>185</v>
      </c>
      <c r="J186" s="1"/>
      <c r="K186" s="12" t="str">
        <f aca="false">IFERROR(VLOOKUP(J186,Lists!$I$1:$J$21,2,FALSE()),"")</f>
        <v/>
      </c>
      <c r="L186" s="1"/>
      <c r="M186" s="1"/>
      <c r="N186" s="1"/>
      <c r="O186" s="1"/>
      <c r="P186" s="1"/>
      <c r="Q186" s="1"/>
      <c r="R186" s="1"/>
      <c r="S186" s="22"/>
      <c r="T186" s="22"/>
      <c r="U186" s="1"/>
      <c r="V186" s="1"/>
      <c r="W186" s="23"/>
      <c r="X186" s="23"/>
      <c r="Y186" s="1"/>
      <c r="Z186" s="19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5" t="str">
        <f aca="false">IF(COUNTIF(AJ186:AT186,"Yes")=COLUMNS(AJ186:AT186),"Yes","No")</f>
        <v>No</v>
      </c>
      <c r="AV186" s="1"/>
      <c r="AW186" s="1"/>
      <c r="AX186" s="1"/>
      <c r="AY186" s="1"/>
    </row>
    <row r="187" customFormat="false" ht="14.25" hidden="false" customHeight="false" outlineLevel="0" collapsed="false">
      <c r="A187" s="5" t="n">
        <f aca="false">ROW()-1</f>
        <v>186</v>
      </c>
      <c r="J187" s="1"/>
      <c r="K187" s="12" t="str">
        <f aca="false">IFERROR(VLOOKUP(J187,Lists!$I$1:$J$21,2,FALSE()),"")</f>
        <v/>
      </c>
      <c r="L187" s="1"/>
      <c r="M187" s="1"/>
      <c r="N187" s="1"/>
      <c r="O187" s="1"/>
      <c r="P187" s="1"/>
      <c r="Q187" s="1"/>
      <c r="R187" s="1"/>
      <c r="S187" s="22"/>
      <c r="T187" s="22"/>
      <c r="U187" s="1"/>
      <c r="V187" s="1"/>
      <c r="W187" s="23"/>
      <c r="X187" s="23"/>
      <c r="Y187" s="1"/>
      <c r="Z187" s="19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5" t="str">
        <f aca="false">IF(COUNTIF(AJ187:AT187,"Yes")=COLUMNS(AJ187:AT187),"Yes","No")</f>
        <v>No</v>
      </c>
      <c r="AV187" s="1"/>
      <c r="AW187" s="1"/>
      <c r="AX187" s="1"/>
      <c r="AY187" s="1"/>
    </row>
    <row r="188" customFormat="false" ht="14.25" hidden="false" customHeight="false" outlineLevel="0" collapsed="false">
      <c r="A188" s="5" t="n">
        <f aca="false">ROW()-1</f>
        <v>187</v>
      </c>
      <c r="J188" s="1"/>
      <c r="K188" s="12" t="str">
        <f aca="false">IFERROR(VLOOKUP(J188,Lists!$I$1:$J$21,2,FALSE()),"")</f>
        <v/>
      </c>
      <c r="L188" s="1"/>
      <c r="M188" s="1"/>
      <c r="N188" s="1"/>
      <c r="O188" s="1"/>
      <c r="P188" s="1"/>
      <c r="Q188" s="1"/>
      <c r="R188" s="1"/>
      <c r="S188" s="22"/>
      <c r="T188" s="22"/>
      <c r="U188" s="1"/>
      <c r="V188" s="1"/>
      <c r="W188" s="23"/>
      <c r="X188" s="23"/>
      <c r="Y188" s="1"/>
      <c r="Z188" s="19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5" t="str">
        <f aca="false">IF(COUNTIF(AJ188:AT188,"Yes")=COLUMNS(AJ188:AT188),"Yes","No")</f>
        <v>No</v>
      </c>
      <c r="AV188" s="1"/>
      <c r="AW188" s="1"/>
      <c r="AX188" s="1"/>
      <c r="AY188" s="1"/>
    </row>
    <row r="189" customFormat="false" ht="14.25" hidden="false" customHeight="false" outlineLevel="0" collapsed="false">
      <c r="A189" s="5" t="n">
        <f aca="false">ROW()-1</f>
        <v>188</v>
      </c>
      <c r="J189" s="1"/>
      <c r="K189" s="12" t="str">
        <f aca="false">IFERROR(VLOOKUP(J189,Lists!$I$1:$J$21,2,FALSE()),"")</f>
        <v/>
      </c>
      <c r="L189" s="1"/>
      <c r="M189" s="1"/>
      <c r="N189" s="1"/>
      <c r="O189" s="1"/>
      <c r="P189" s="1"/>
      <c r="Q189" s="1"/>
      <c r="R189" s="1"/>
      <c r="S189" s="22"/>
      <c r="T189" s="22"/>
      <c r="U189" s="1"/>
      <c r="V189" s="1"/>
      <c r="W189" s="23"/>
      <c r="X189" s="23"/>
      <c r="Y189" s="1"/>
      <c r="Z189" s="19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5" t="str">
        <f aca="false">IF(COUNTIF(AJ189:AT189,"Yes")=COLUMNS(AJ189:AT189),"Yes","No")</f>
        <v>No</v>
      </c>
      <c r="AV189" s="1"/>
      <c r="AW189" s="1"/>
      <c r="AX189" s="1"/>
      <c r="AY189" s="1"/>
    </row>
    <row r="190" customFormat="false" ht="14.25" hidden="false" customHeight="false" outlineLevel="0" collapsed="false">
      <c r="A190" s="5" t="n">
        <f aca="false">ROW()-1</f>
        <v>189</v>
      </c>
      <c r="J190" s="1"/>
      <c r="K190" s="12" t="str">
        <f aca="false">IFERROR(VLOOKUP(J190,Lists!$I$1:$J$21,2,FALSE()),"")</f>
        <v/>
      </c>
      <c r="L190" s="1"/>
      <c r="M190" s="1"/>
      <c r="N190" s="1"/>
      <c r="O190" s="1"/>
      <c r="P190" s="1"/>
      <c r="Q190" s="1"/>
      <c r="R190" s="1"/>
      <c r="S190" s="22"/>
      <c r="T190" s="22"/>
      <c r="U190" s="1"/>
      <c r="V190" s="1"/>
      <c r="W190" s="23"/>
      <c r="X190" s="23"/>
      <c r="Y190" s="1"/>
      <c r="Z190" s="19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5" t="str">
        <f aca="false">IF(COUNTIF(AJ190:AT190,"Yes")=COLUMNS(AJ190:AT190),"Yes","No")</f>
        <v>No</v>
      </c>
      <c r="AV190" s="1"/>
      <c r="AW190" s="1"/>
      <c r="AX190" s="1"/>
      <c r="AY190" s="1"/>
    </row>
    <row r="191" customFormat="false" ht="14.25" hidden="false" customHeight="false" outlineLevel="0" collapsed="false">
      <c r="A191" s="5" t="n">
        <f aca="false">ROW()-1</f>
        <v>190</v>
      </c>
      <c r="J191" s="1"/>
      <c r="K191" s="12" t="str">
        <f aca="false">IFERROR(VLOOKUP(J191,Lists!$I$1:$J$21,2,FALSE()),"")</f>
        <v/>
      </c>
      <c r="L191" s="1"/>
      <c r="M191" s="1"/>
      <c r="N191" s="1"/>
      <c r="O191" s="1"/>
      <c r="P191" s="1"/>
      <c r="Q191" s="1"/>
      <c r="R191" s="1"/>
      <c r="S191" s="22"/>
      <c r="T191" s="22"/>
      <c r="U191" s="1"/>
      <c r="V191" s="1"/>
      <c r="W191" s="23"/>
      <c r="X191" s="23"/>
      <c r="Y191" s="1"/>
      <c r="Z191" s="19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5" t="str">
        <f aca="false">IF(COUNTIF(AJ191:AT191,"Yes")=COLUMNS(AJ191:AT191),"Yes","No")</f>
        <v>No</v>
      </c>
      <c r="AV191" s="1"/>
      <c r="AW191" s="1"/>
      <c r="AX191" s="1"/>
      <c r="AY191" s="1"/>
    </row>
    <row r="192" customFormat="false" ht="14.25" hidden="false" customHeight="false" outlineLevel="0" collapsed="false">
      <c r="A192" s="5" t="n">
        <f aca="false">ROW()-1</f>
        <v>191</v>
      </c>
      <c r="J192" s="1"/>
      <c r="K192" s="12" t="str">
        <f aca="false">IFERROR(VLOOKUP(J192,Lists!$I$1:$J$21,2,FALSE()),"")</f>
        <v/>
      </c>
      <c r="L192" s="1"/>
      <c r="M192" s="1"/>
      <c r="N192" s="1"/>
      <c r="O192" s="1"/>
      <c r="P192" s="1"/>
      <c r="Q192" s="1"/>
      <c r="R192" s="1"/>
      <c r="S192" s="22"/>
      <c r="T192" s="22"/>
      <c r="U192" s="1"/>
      <c r="V192" s="1"/>
      <c r="W192" s="23"/>
      <c r="X192" s="23"/>
      <c r="Y192" s="1"/>
      <c r="Z192" s="19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5" t="str">
        <f aca="false">IF(COUNTIF(AJ192:AT192,"Yes")=COLUMNS(AJ192:AT192),"Yes","No")</f>
        <v>No</v>
      </c>
      <c r="AV192" s="1"/>
      <c r="AW192" s="1"/>
      <c r="AX192" s="1"/>
      <c r="AY192" s="1"/>
    </row>
    <row r="193" customFormat="false" ht="14.25" hidden="false" customHeight="false" outlineLevel="0" collapsed="false">
      <c r="A193" s="5" t="n">
        <f aca="false">ROW()-1</f>
        <v>192</v>
      </c>
      <c r="J193" s="1"/>
      <c r="K193" s="12" t="str">
        <f aca="false">IFERROR(VLOOKUP(J193,Lists!$I$1:$J$21,2,FALSE()),"")</f>
        <v/>
      </c>
      <c r="L193" s="1"/>
      <c r="M193" s="1"/>
      <c r="N193" s="1"/>
      <c r="O193" s="1"/>
      <c r="P193" s="1"/>
      <c r="Q193" s="1"/>
      <c r="R193" s="1"/>
      <c r="S193" s="22"/>
      <c r="T193" s="22"/>
      <c r="U193" s="1"/>
      <c r="V193" s="1"/>
      <c r="W193" s="23"/>
      <c r="X193" s="23"/>
      <c r="Y193" s="1"/>
      <c r="Z193" s="19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5" t="str">
        <f aca="false">IF(COUNTIF(AJ193:AT193,"Yes")=COLUMNS(AJ193:AT193),"Yes","No")</f>
        <v>No</v>
      </c>
      <c r="AV193" s="1"/>
      <c r="AW193" s="1"/>
      <c r="AX193" s="1"/>
      <c r="AY193" s="1"/>
    </row>
    <row r="194" customFormat="false" ht="14.25" hidden="false" customHeight="false" outlineLevel="0" collapsed="false">
      <c r="A194" s="5" t="n">
        <f aca="false">ROW()-1</f>
        <v>193</v>
      </c>
      <c r="J194" s="1"/>
      <c r="K194" s="12" t="str">
        <f aca="false">IFERROR(VLOOKUP(J194,Lists!$I$1:$J$21,2,FALSE()),"")</f>
        <v/>
      </c>
      <c r="L194" s="1"/>
      <c r="M194" s="1"/>
      <c r="N194" s="1"/>
      <c r="O194" s="1"/>
      <c r="P194" s="1"/>
      <c r="Q194" s="1"/>
      <c r="R194" s="1"/>
      <c r="S194" s="22"/>
      <c r="T194" s="22"/>
      <c r="U194" s="1"/>
      <c r="V194" s="1"/>
      <c r="W194" s="23"/>
      <c r="X194" s="23"/>
      <c r="Y194" s="1"/>
      <c r="Z194" s="19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5" t="str">
        <f aca="false">IF(COUNTIF(AJ194:AT194,"Yes")=COLUMNS(AJ194:AT194),"Yes","No")</f>
        <v>No</v>
      </c>
      <c r="AV194" s="1"/>
      <c r="AW194" s="1"/>
      <c r="AX194" s="1"/>
      <c r="AY194" s="1"/>
    </row>
    <row r="195" customFormat="false" ht="14.25" hidden="false" customHeight="false" outlineLevel="0" collapsed="false">
      <c r="A195" s="5" t="n">
        <f aca="false">ROW()-1</f>
        <v>194</v>
      </c>
      <c r="J195" s="1"/>
      <c r="K195" s="12" t="str">
        <f aca="false">IFERROR(VLOOKUP(J195,Lists!$I$1:$J$21,2,FALSE()),"")</f>
        <v/>
      </c>
      <c r="L195" s="1"/>
      <c r="M195" s="1"/>
      <c r="N195" s="1"/>
      <c r="O195" s="1"/>
      <c r="P195" s="1"/>
      <c r="Q195" s="1"/>
      <c r="R195" s="1"/>
      <c r="S195" s="22"/>
      <c r="T195" s="22"/>
      <c r="U195" s="1"/>
      <c r="V195" s="1"/>
      <c r="W195" s="23"/>
      <c r="X195" s="23"/>
      <c r="Y195" s="1"/>
      <c r="Z195" s="19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5" t="str">
        <f aca="false">IF(COUNTIF(AJ195:AT195,"Yes")=COLUMNS(AJ195:AT195),"Yes","No")</f>
        <v>No</v>
      </c>
      <c r="AV195" s="1"/>
      <c r="AW195" s="1"/>
      <c r="AX195" s="1"/>
      <c r="AY195" s="1"/>
    </row>
    <row r="196" customFormat="false" ht="14.25" hidden="false" customHeight="false" outlineLevel="0" collapsed="false">
      <c r="A196" s="5" t="n">
        <f aca="false">ROW()-1</f>
        <v>195</v>
      </c>
      <c r="J196" s="1"/>
      <c r="K196" s="12" t="str">
        <f aca="false">IFERROR(VLOOKUP(J196,Lists!$I$1:$J$21,2,FALSE()),"")</f>
        <v/>
      </c>
      <c r="L196" s="1"/>
      <c r="M196" s="1"/>
      <c r="N196" s="1"/>
      <c r="O196" s="1"/>
      <c r="P196" s="1"/>
      <c r="Q196" s="1"/>
      <c r="R196" s="1"/>
      <c r="S196" s="22"/>
      <c r="T196" s="22"/>
      <c r="U196" s="1"/>
      <c r="V196" s="1"/>
      <c r="W196" s="23"/>
      <c r="X196" s="23"/>
      <c r="Y196" s="1"/>
      <c r="Z196" s="19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5" t="str">
        <f aca="false">IF(COUNTIF(AJ196:AT196,"Yes")=COLUMNS(AJ196:AT196),"Yes","No")</f>
        <v>No</v>
      </c>
      <c r="AV196" s="1"/>
      <c r="AW196" s="1"/>
      <c r="AX196" s="1"/>
      <c r="AY196" s="1"/>
    </row>
    <row r="197" customFormat="false" ht="14.25" hidden="false" customHeight="false" outlineLevel="0" collapsed="false">
      <c r="A197" s="5" t="n">
        <f aca="false">ROW()-1</f>
        <v>196</v>
      </c>
      <c r="J197" s="1"/>
      <c r="K197" s="12" t="str">
        <f aca="false">IFERROR(VLOOKUP(J197,Lists!$I$1:$J$21,2,FALSE()),"")</f>
        <v/>
      </c>
      <c r="L197" s="1"/>
      <c r="M197" s="1"/>
      <c r="N197" s="1"/>
      <c r="O197" s="1"/>
      <c r="P197" s="1"/>
      <c r="Q197" s="1"/>
      <c r="R197" s="1"/>
      <c r="S197" s="22"/>
      <c r="T197" s="22"/>
      <c r="U197" s="1"/>
      <c r="V197" s="1"/>
      <c r="W197" s="23"/>
      <c r="X197" s="23"/>
      <c r="Y197" s="1"/>
      <c r="Z197" s="19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5" t="str">
        <f aca="false">IF(COUNTIF(AJ197:AT197,"Yes")=COLUMNS(AJ197:AT197),"Yes","No")</f>
        <v>No</v>
      </c>
      <c r="AV197" s="1"/>
      <c r="AW197" s="1"/>
      <c r="AX197" s="1"/>
      <c r="AY197" s="1"/>
    </row>
    <row r="198" customFormat="false" ht="14.25" hidden="false" customHeight="false" outlineLevel="0" collapsed="false">
      <c r="A198" s="5" t="n">
        <f aca="false">ROW()-1</f>
        <v>197</v>
      </c>
      <c r="J198" s="1"/>
      <c r="K198" s="12" t="str">
        <f aca="false">IFERROR(VLOOKUP(J198,Lists!$I$1:$J$21,2,FALSE()),"")</f>
        <v/>
      </c>
      <c r="L198" s="1"/>
      <c r="M198" s="1"/>
      <c r="N198" s="1"/>
      <c r="O198" s="1"/>
      <c r="P198" s="1"/>
      <c r="Q198" s="1"/>
      <c r="R198" s="1"/>
      <c r="S198" s="22"/>
      <c r="T198" s="22"/>
      <c r="U198" s="1"/>
      <c r="V198" s="1"/>
      <c r="W198" s="23"/>
      <c r="X198" s="23"/>
      <c r="Y198" s="1"/>
      <c r="Z198" s="19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5" t="str">
        <f aca="false">IF(COUNTIF(AJ198:AT198,"Yes")=COLUMNS(AJ198:AT198),"Yes","No")</f>
        <v>No</v>
      </c>
      <c r="AV198" s="1"/>
      <c r="AW198" s="1"/>
      <c r="AX198" s="1"/>
      <c r="AY198" s="1"/>
    </row>
    <row r="199" customFormat="false" ht="14.25" hidden="false" customHeight="false" outlineLevel="0" collapsed="false">
      <c r="A199" s="5" t="n">
        <f aca="false">ROW()-1</f>
        <v>198</v>
      </c>
      <c r="J199" s="1"/>
      <c r="K199" s="12" t="str">
        <f aca="false">IFERROR(VLOOKUP(J199,Lists!$I$1:$J$21,2,FALSE()),"")</f>
        <v/>
      </c>
      <c r="L199" s="1"/>
      <c r="M199" s="1"/>
      <c r="N199" s="1"/>
      <c r="O199" s="1"/>
      <c r="P199" s="1"/>
      <c r="Q199" s="1"/>
      <c r="R199" s="1"/>
      <c r="S199" s="22"/>
      <c r="T199" s="22"/>
      <c r="U199" s="1"/>
      <c r="V199" s="1"/>
      <c r="W199" s="23"/>
      <c r="X199" s="23"/>
      <c r="Y199" s="1"/>
      <c r="Z199" s="19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5" t="str">
        <f aca="false">IF(COUNTIF(AJ199:AT199,"Yes")=COLUMNS(AJ199:AT199),"Yes","No")</f>
        <v>No</v>
      </c>
      <c r="AV199" s="1"/>
      <c r="AW199" s="1"/>
      <c r="AX199" s="1"/>
      <c r="AY199" s="1"/>
    </row>
    <row r="200" customFormat="false" ht="14.25" hidden="false" customHeight="false" outlineLevel="0" collapsed="false">
      <c r="A200" s="5" t="n">
        <f aca="false">ROW()-1</f>
        <v>199</v>
      </c>
      <c r="J200" s="1"/>
      <c r="K200" s="12" t="str">
        <f aca="false">IFERROR(VLOOKUP(J200,Lists!$I$1:$J$21,2,FALSE()),"")</f>
        <v/>
      </c>
      <c r="L200" s="1"/>
      <c r="M200" s="1"/>
      <c r="N200" s="1"/>
      <c r="O200" s="1"/>
      <c r="P200" s="1"/>
      <c r="Q200" s="1"/>
      <c r="R200" s="1"/>
      <c r="S200" s="22"/>
      <c r="T200" s="22"/>
      <c r="U200" s="1"/>
      <c r="V200" s="1"/>
      <c r="W200" s="23"/>
      <c r="X200" s="23"/>
      <c r="Y200" s="1"/>
      <c r="Z200" s="19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5" t="str">
        <f aca="false">IF(COUNTIF(AJ200:AT200,"Yes")=COLUMNS(AJ200:AT200),"Yes","No")</f>
        <v>No</v>
      </c>
      <c r="AV200" s="1"/>
      <c r="AW200" s="1"/>
      <c r="AX200" s="1"/>
      <c r="AY200" s="1"/>
    </row>
    <row r="201" customFormat="false" ht="14.25" hidden="false" customHeight="false" outlineLevel="0" collapsed="false">
      <c r="A201" s="5" t="n">
        <f aca="false">ROW()-1</f>
        <v>200</v>
      </c>
      <c r="J201" s="1"/>
      <c r="K201" s="12" t="str">
        <f aca="false">IFERROR(VLOOKUP(J201,Lists!$I$1:$J$21,2,FALSE()),"")</f>
        <v/>
      </c>
      <c r="L201" s="1"/>
      <c r="M201" s="1"/>
      <c r="N201" s="1"/>
      <c r="O201" s="1"/>
      <c r="P201" s="1"/>
      <c r="Q201" s="1"/>
      <c r="R201" s="1"/>
      <c r="S201" s="22"/>
      <c r="T201" s="22"/>
      <c r="U201" s="1"/>
      <c r="V201" s="1"/>
      <c r="W201" s="23"/>
      <c r="X201" s="23"/>
      <c r="Y201" s="1"/>
      <c r="Z201" s="19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5" t="str">
        <f aca="false">IF(COUNTIF(AJ201:AT201,"Yes")=COLUMNS(AJ201:AT201),"Yes","No")</f>
        <v>No</v>
      </c>
      <c r="AV201" s="1"/>
      <c r="AW201" s="1"/>
      <c r="AX201" s="1"/>
      <c r="AY201" s="1"/>
    </row>
  </sheetData>
  <sheetProtection sheet="true" objects="true" scenarios="true"/>
  <dataValidations count="21">
    <dataValidation allowBlank="true" errorStyle="stop" operator="between" showDropDown="false" showErrorMessage="false" showInputMessage="false" sqref="A2:B51 A52:A201" type="custom">
      <formula1>OR(B2="",AND(ISNUMBER(B2),B2&gt;=0,LEN(TEXT(B2,"000000"))=6))</formula1>
      <formula2>0</formula2>
    </dataValidation>
    <dataValidation allowBlank="true" errorStyle="stop" operator="between" showDropDown="false" showErrorMessage="false" showInputMessage="false" sqref="S2:T51" type="custom">
      <formula1>OR(S2="",AND(LEN(S2)=11,ISNUMBER(VALUE(S2))))</formula1>
      <formula2>0</formula2>
    </dataValidation>
    <dataValidation allowBlank="true" errorStyle="stop" operator="between" showDropDown="false" showErrorMessage="false" showInputMessage="false" sqref="Z2:Z51" type="custom">
      <formula1>OR(Z2="",AND(LEN(Z2)=14,ISNUMBER(VALUE(Z2))))</formula1>
      <formula2>0</formula2>
    </dataValidation>
    <dataValidation allowBlank="true" errorStyle="stop" operator="between" showDropDown="false" showErrorMessage="false" showInputMessage="false" sqref="Q2:Q51 AA2:AA51 AC2:AC51 AW2:AX51" type="date">
      <formula1>DATE(1900,1,1)</formula1>
      <formula2>DATE(2100,12,31)</formula2>
    </dataValidation>
    <dataValidation allowBlank="true" errorStyle="stop" operator="between" showDropDown="false" showErrorMessage="false" showInputMessage="false" sqref="AD2:AD51" type="custom">
      <formula1>OR(AD2="",AC2="",AD2&gt;AC2)</formula1>
      <formula2>0</formula2>
    </dataValidation>
    <dataValidation allowBlank="true" errorStyle="stop" operator="between" showDropDown="false" showErrorMessage="false" showInputMessage="false" sqref="K2:K201" type="none">
      <formula1>0</formula1>
      <formula2>0</formula2>
    </dataValidation>
    <dataValidation allowBlank="false" errorStyle="stop" operator="between" showDropDown="false" showErrorMessage="false" showInputMessage="false" sqref="N2:O201" type="list">
      <formula1>"Yes,No"</formula1>
      <formula2>0</formula2>
    </dataValidation>
    <dataValidation allowBlank="true" errorStyle="stop" operator="between" showDropDown="false" showErrorMessage="false" showInputMessage="false" sqref="V2:V201 Y2:Y201 AJ2:AT201" type="list">
      <formula1>"Yes,No"</formula1>
      <formula2>0</formula2>
    </dataValidation>
    <dataValidation allowBlank="true" errorStyle="stop" operator="between" showDropDown="false" showErrorMessage="false" showInputMessage="false" sqref="AE2:AE201" type="list">
      <formula1>"Male,Female"</formula1>
      <formula2>0</formula2>
    </dataValidation>
    <dataValidation allowBlank="true" errorStyle="stop" operator="between" showDropDown="false" showErrorMessage="false" showInputMessage="false" sqref="AG2:AG201" type="list">
      <formula1>"Single,Married,Divorced"</formula1>
      <formula2>0</formula2>
    </dataValidation>
    <dataValidation allowBlank="true" errorStyle="stop" operator="between" showDropDown="false" showErrorMessage="false" showInputMessage="false" sqref="AH2:AH201" type="list">
      <formula1>"Muslim,Christian"</formula1>
      <formula2>0</formula2>
    </dataValidation>
    <dataValidation allowBlank="true" errorStyle="stop" operator="between" showDropDown="false" showErrorMessage="true" showInputMessage="true" sqref="U2:U201" type="whole">
      <formula1>10000000</formula1>
      <formula2>88888888</formula2>
    </dataValidation>
    <dataValidation allowBlank="true" errorStyle="stop" operator="between" showDropDown="false" showErrorMessage="false" showInputMessage="false" sqref="H2:H201" type="list">
      <formula1>'SI Codes'!$A$2:$A$4999</formula1>
      <formula2>0</formula2>
    </dataValidation>
    <dataValidation allowBlank="true" errorStyle="stop" operator="between" showDropDown="false" showErrorMessage="false" showInputMessage="false" sqref="C2:C201" type="list">
      <formula1>lists!#ref!</formula1>
      <formula2>0</formula2>
    </dataValidation>
    <dataValidation allowBlank="true" errorStyle="stop" operator="between" showDropDown="false" showErrorMessage="false" showInputMessage="false" sqref="L2:L201" type="list">
      <formula1>Lists!$B$2:$B$4</formula1>
      <formula2>0</formula2>
    </dataValidation>
    <dataValidation allowBlank="true" errorStyle="stop" operator="between" showDropDown="false" showErrorMessage="false" showInputMessage="false" sqref="M2:M201" type="list">
      <formula1>Lists!$C$2:$C$3</formula1>
      <formula2>0</formula2>
    </dataValidation>
    <dataValidation allowBlank="true" errorStyle="stop" operator="between" showDropDown="false" showErrorMessage="false" showInputMessage="false" sqref="P2:P201" type="list">
      <formula1>Lists!$D$2:$D$4</formula1>
      <formula2>0</formula2>
    </dataValidation>
    <dataValidation allowBlank="true" errorStyle="stop" operator="between" showDropDown="false" showErrorMessage="false" showInputMessage="false" sqref="AF2:AF201" type="list">
      <formula1>Lists!$E$2:$E$4</formula1>
      <formula2>0</formula2>
    </dataValidation>
    <dataValidation allowBlank="true" errorStyle="stop" operator="between" showDropDown="false" showErrorMessage="true" showInputMessage="true" sqref="W2:W201" type="whole">
      <formula1>Lists!$F$2</formula1>
      <formula2>Lists!$F$3</formula2>
    </dataValidation>
    <dataValidation allowBlank="true" errorStyle="stop" operator="between" showDropDown="false" showErrorMessage="true" showInputMessage="true" sqref="X2:X201" type="whole">
      <formula1>Lists!$G$2</formula1>
      <formula2>Lists!$G$3</formula2>
    </dataValidation>
    <dataValidation allowBlank="true" errorStyle="stop" operator="between" showDropDown="false" showErrorMessage="false" showInputMessage="false" sqref="J2:J201" type="list">
      <formula1>Lists!$I$2:$I$21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2" activeCellId="0" sqref="I2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24" width="15.54"/>
    <col collapsed="false" customWidth="true" hidden="false" outlineLevel="0" max="2" min="2" style="24" width="8.36"/>
    <col collapsed="false" customWidth="true" hidden="false" outlineLevel="0" max="3" min="3" style="24" width="19.18"/>
    <col collapsed="false" customWidth="true" hidden="false" outlineLevel="0" max="4" min="4" style="24" width="11.09"/>
    <col collapsed="false" customWidth="true" hidden="false" outlineLevel="0" max="5" min="5" style="24" width="15.45"/>
    <col collapsed="false" customWidth="true" hidden="false" outlineLevel="0" max="6" min="6" style="24" width="15.27"/>
    <col collapsed="false" customWidth="true" hidden="false" outlineLevel="0" max="7" min="7" style="24" width="14.91"/>
    <col collapsed="false" customWidth="false" hidden="false" outlineLevel="0" max="8" min="8" style="24" width="8.73"/>
    <col collapsed="false" customWidth="true" hidden="false" outlineLevel="0" max="9" min="9" style="24" width="16.54"/>
    <col collapsed="false" customWidth="true" hidden="false" outlineLevel="0" max="10" min="10" style="24" width="12.73"/>
    <col collapsed="false" customWidth="false" hidden="false" outlineLevel="0" max="16384" min="11" style="24" width="8.73"/>
  </cols>
  <sheetData>
    <row r="1" customFormat="false" ht="14.25" hidden="false" customHeight="false" outlineLevel="0" collapsed="false">
      <c r="A1" s="25" t="s">
        <v>144</v>
      </c>
      <c r="B1" s="25" t="s">
        <v>11</v>
      </c>
      <c r="C1" s="25" t="s">
        <v>145</v>
      </c>
      <c r="D1" s="25" t="s">
        <v>146</v>
      </c>
      <c r="E1" s="25" t="s">
        <v>147</v>
      </c>
      <c r="F1" s="25" t="s">
        <v>22</v>
      </c>
      <c r="G1" s="25" t="s">
        <v>23</v>
      </c>
      <c r="I1" s="26" t="s">
        <v>9</v>
      </c>
      <c r="J1" s="27" t="s">
        <v>10</v>
      </c>
    </row>
    <row r="2" customFormat="false" ht="14.25" hidden="false" customHeight="false" outlineLevel="0" collapsed="false">
      <c r="A2" s="24" t="s">
        <v>51</v>
      </c>
      <c r="B2" s="24" t="s">
        <v>148</v>
      </c>
      <c r="C2" s="24" t="s">
        <v>94</v>
      </c>
      <c r="D2" s="24" t="s">
        <v>149</v>
      </c>
      <c r="E2" s="24" t="s">
        <v>150</v>
      </c>
      <c r="F2" s="28" t="n">
        <v>5500</v>
      </c>
      <c r="G2" s="28" t="n">
        <v>5500</v>
      </c>
      <c r="I2" s="24" t="s">
        <v>55</v>
      </c>
      <c r="J2" s="24" t="s">
        <v>151</v>
      </c>
    </row>
    <row r="3" customFormat="false" ht="14.25" hidden="false" customHeight="false" outlineLevel="0" collapsed="false">
      <c r="A3" s="24" t="s">
        <v>152</v>
      </c>
      <c r="B3" s="24" t="s">
        <v>56</v>
      </c>
      <c r="C3" s="24" t="s">
        <v>57</v>
      </c>
      <c r="D3" s="24" t="s">
        <v>153</v>
      </c>
      <c r="E3" s="24" t="s">
        <v>154</v>
      </c>
      <c r="F3" s="28" t="n">
        <v>16700</v>
      </c>
      <c r="G3" s="28" t="n">
        <f aca="false">Table4[[#This Row],[SI Basic Wage]]*1.3</f>
        <v>21710</v>
      </c>
      <c r="I3" s="24" t="s">
        <v>124</v>
      </c>
      <c r="J3" s="24" t="s">
        <v>155</v>
      </c>
    </row>
    <row r="4" customFormat="false" ht="14.25" hidden="false" customHeight="false" outlineLevel="0" collapsed="false">
      <c r="A4" s="24" t="s">
        <v>156</v>
      </c>
      <c r="B4" s="24" t="s">
        <v>157</v>
      </c>
      <c r="D4" s="24" t="s">
        <v>158</v>
      </c>
      <c r="E4" s="24" t="s">
        <v>61</v>
      </c>
      <c r="G4" s="29"/>
      <c r="I4" s="24" t="s">
        <v>107</v>
      </c>
      <c r="J4" s="24" t="s">
        <v>155</v>
      </c>
    </row>
    <row r="5" customFormat="false" ht="14.25" hidden="false" customHeight="false" outlineLevel="0" collapsed="false">
      <c r="A5" s="24" t="s">
        <v>159</v>
      </c>
      <c r="G5" s="29"/>
      <c r="I5" s="24" t="s">
        <v>118</v>
      </c>
      <c r="J5" s="24" t="s">
        <v>155</v>
      </c>
    </row>
    <row r="6" customFormat="false" ht="14.25" hidden="false" customHeight="false" outlineLevel="0" collapsed="false">
      <c r="A6" s="24" t="s">
        <v>160</v>
      </c>
      <c r="G6" s="29"/>
      <c r="I6" s="24" t="s">
        <v>130</v>
      </c>
      <c r="J6" s="24" t="s">
        <v>155</v>
      </c>
    </row>
    <row r="7" customFormat="false" ht="14.25" hidden="false" customHeight="false" outlineLevel="0" collapsed="false">
      <c r="A7" s="24" t="s">
        <v>161</v>
      </c>
      <c r="G7" s="29"/>
      <c r="I7" s="24" t="s">
        <v>69</v>
      </c>
      <c r="J7" s="24" t="s">
        <v>162</v>
      </c>
    </row>
    <row r="8" customFormat="false" ht="14.25" hidden="false" customHeight="false" outlineLevel="0" collapsed="false">
      <c r="I8" s="24" t="s">
        <v>163</v>
      </c>
      <c r="J8" s="24" t="s">
        <v>162</v>
      </c>
    </row>
    <row r="9" customFormat="false" ht="14.25" hidden="false" customHeight="false" outlineLevel="0" collapsed="false">
      <c r="I9" s="24" t="s">
        <v>112</v>
      </c>
      <c r="J9" s="24" t="s">
        <v>112</v>
      </c>
    </row>
    <row r="10" customFormat="false" ht="14.25" hidden="false" customHeight="false" outlineLevel="0" collapsed="false">
      <c r="I10" s="24" t="s">
        <v>164</v>
      </c>
      <c r="J10" s="24" t="s">
        <v>112</v>
      </c>
    </row>
    <row r="11" customFormat="false" ht="14.25" hidden="false" customHeight="false" outlineLevel="0" collapsed="false">
      <c r="I11" s="24" t="s">
        <v>165</v>
      </c>
      <c r="J11" s="24" t="s">
        <v>112</v>
      </c>
    </row>
    <row r="12" customFormat="false" ht="14.25" hidden="false" customHeight="false" outlineLevel="0" collapsed="false">
      <c r="I12" s="24" t="s">
        <v>81</v>
      </c>
      <c r="J12" s="24" t="s">
        <v>166</v>
      </c>
    </row>
    <row r="13" customFormat="false" ht="14.25" hidden="false" customHeight="false" outlineLevel="0" collapsed="false">
      <c r="I13" s="24" t="s">
        <v>143</v>
      </c>
      <c r="J13" s="24" t="s">
        <v>166</v>
      </c>
    </row>
    <row r="14" customFormat="false" ht="14.25" hidden="false" customHeight="false" outlineLevel="0" collapsed="false">
      <c r="I14" s="24" t="s">
        <v>167</v>
      </c>
      <c r="J14" s="24" t="s">
        <v>166</v>
      </c>
    </row>
    <row r="15" customFormat="false" ht="14.25" hidden="false" customHeight="false" outlineLevel="0" collapsed="false">
      <c r="I15" s="24" t="s">
        <v>168</v>
      </c>
      <c r="J15" s="24" t="s">
        <v>169</v>
      </c>
    </row>
    <row r="16" customFormat="false" ht="14.25" hidden="false" customHeight="false" outlineLevel="0" collapsed="false">
      <c r="I16" s="24" t="s">
        <v>75</v>
      </c>
      <c r="J16" s="24" t="s">
        <v>169</v>
      </c>
    </row>
    <row r="17" customFormat="false" ht="14.25" hidden="false" customHeight="false" outlineLevel="0" collapsed="false">
      <c r="I17" s="24" t="s">
        <v>87</v>
      </c>
      <c r="J17" s="24" t="s">
        <v>169</v>
      </c>
    </row>
    <row r="18" customFormat="false" ht="14.25" hidden="false" customHeight="false" outlineLevel="0" collapsed="false">
      <c r="I18" s="24" t="s">
        <v>100</v>
      </c>
      <c r="J18" s="24" t="s">
        <v>169</v>
      </c>
    </row>
    <row r="19" customFormat="false" ht="14.25" hidden="false" customHeight="false" outlineLevel="0" collapsed="false">
      <c r="I19" s="24" t="s">
        <v>93</v>
      </c>
      <c r="J19" s="24" t="s">
        <v>169</v>
      </c>
    </row>
    <row r="20" customFormat="false" ht="14.25" hidden="false" customHeight="false" outlineLevel="0" collapsed="false">
      <c r="I20" s="24" t="s">
        <v>170</v>
      </c>
      <c r="J20" s="24" t="s">
        <v>169</v>
      </c>
    </row>
    <row r="21" customFormat="false" ht="14.25" hidden="false" customHeight="false" outlineLevel="0" collapsed="false">
      <c r="I21" s="24" t="s">
        <v>171</v>
      </c>
      <c r="J21" s="24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30" width="14"/>
    <col collapsed="false" customWidth="true" hidden="false" outlineLevel="0" max="2" min="2" style="30" width="40"/>
    <col collapsed="false" customWidth="false" hidden="false" outlineLevel="0" max="16384" min="3" style="30" width="8.73"/>
  </cols>
  <sheetData>
    <row r="1" customFormat="false" ht="14.25" hidden="false" customHeight="false" outlineLevel="0" collapsed="false">
      <c r="A1" s="31" t="s">
        <v>172</v>
      </c>
      <c r="B1" s="31" t="s">
        <v>173</v>
      </c>
    </row>
    <row r="2" customFormat="false" ht="14.25" hidden="false" customHeight="false" outlineLevel="0" collapsed="false">
      <c r="A2" s="24" t="n">
        <v>11000</v>
      </c>
      <c r="B2" s="32" t="s">
        <v>174</v>
      </c>
    </row>
    <row r="3" customFormat="false" ht="14.25" hidden="false" customHeight="false" outlineLevel="0" collapsed="false">
      <c r="A3" s="24" t="n">
        <v>11100</v>
      </c>
      <c r="B3" s="32" t="s">
        <v>175</v>
      </c>
    </row>
    <row r="4" customFormat="false" ht="14.25" hidden="false" customHeight="false" outlineLevel="0" collapsed="false">
      <c r="A4" s="24" t="n">
        <v>11200</v>
      </c>
      <c r="B4" s="32" t="s">
        <v>176</v>
      </c>
    </row>
    <row r="5" customFormat="false" ht="14.25" hidden="false" customHeight="false" outlineLevel="0" collapsed="false">
      <c r="A5" s="24" t="n">
        <v>11300</v>
      </c>
      <c r="B5" s="32" t="s">
        <v>177</v>
      </c>
    </row>
    <row r="6" customFormat="false" ht="14.25" hidden="false" customHeight="false" outlineLevel="0" collapsed="false">
      <c r="A6" s="24" t="n">
        <v>11400</v>
      </c>
      <c r="B6" s="32" t="s">
        <v>178</v>
      </c>
    </row>
    <row r="7" customFormat="false" ht="14.25" hidden="false" customHeight="false" outlineLevel="0" collapsed="false">
      <c r="A7" s="24" t="n">
        <v>11500</v>
      </c>
      <c r="B7" s="32" t="s">
        <v>179</v>
      </c>
    </row>
    <row r="8" customFormat="false" ht="14.25" hidden="false" customHeight="false" outlineLevel="0" collapsed="false">
      <c r="A8" s="24" t="n">
        <v>11900</v>
      </c>
      <c r="B8" s="32" t="s">
        <v>180</v>
      </c>
    </row>
    <row r="9" customFormat="false" ht="14.25" hidden="false" customHeight="false" outlineLevel="0" collapsed="false">
      <c r="A9" s="24" t="n">
        <v>12000</v>
      </c>
      <c r="B9" s="32" t="s">
        <v>181</v>
      </c>
    </row>
    <row r="10" customFormat="false" ht="14.25" hidden="false" customHeight="false" outlineLevel="0" collapsed="false">
      <c r="A10" s="24" t="n">
        <v>12100</v>
      </c>
      <c r="B10" s="32" t="s">
        <v>182</v>
      </c>
    </row>
    <row r="11" customFormat="false" ht="14.25" hidden="false" customHeight="false" outlineLevel="0" collapsed="false">
      <c r="A11" s="24" t="n">
        <v>12200</v>
      </c>
      <c r="B11" s="32" t="s">
        <v>183</v>
      </c>
    </row>
    <row r="12" customFormat="false" ht="14.25" hidden="false" customHeight="false" outlineLevel="0" collapsed="false">
      <c r="A12" s="24" t="n">
        <v>12300</v>
      </c>
      <c r="B12" s="32" t="s">
        <v>184</v>
      </c>
    </row>
    <row r="13" customFormat="false" ht="14.25" hidden="false" customHeight="false" outlineLevel="0" collapsed="false">
      <c r="A13" s="24" t="n">
        <v>12400</v>
      </c>
      <c r="B13" s="32" t="s">
        <v>185</v>
      </c>
    </row>
    <row r="14" customFormat="false" ht="14.25" hidden="false" customHeight="false" outlineLevel="0" collapsed="false">
      <c r="A14" s="24" t="n">
        <v>12500</v>
      </c>
      <c r="B14" s="32" t="s">
        <v>186</v>
      </c>
    </row>
    <row r="15" customFormat="false" ht="14.25" hidden="false" customHeight="false" outlineLevel="0" collapsed="false">
      <c r="A15" s="24" t="n">
        <v>12600</v>
      </c>
      <c r="B15" s="32" t="s">
        <v>187</v>
      </c>
    </row>
    <row r="16" customFormat="false" ht="14.25" hidden="false" customHeight="false" outlineLevel="0" collapsed="false">
      <c r="A16" s="24" t="n">
        <v>12700</v>
      </c>
      <c r="B16" s="32" t="s">
        <v>188</v>
      </c>
    </row>
    <row r="17" customFormat="false" ht="14.25" hidden="false" customHeight="false" outlineLevel="0" collapsed="false">
      <c r="A17" s="24" t="n">
        <v>12800</v>
      </c>
      <c r="B17" s="32" t="s">
        <v>189</v>
      </c>
    </row>
    <row r="18" customFormat="false" ht="16.4" hidden="false" customHeight="false" outlineLevel="0" collapsed="false">
      <c r="A18" s="24" t="n">
        <v>12900</v>
      </c>
      <c r="B18" s="32" t="s">
        <v>190</v>
      </c>
    </row>
    <row r="19" customFormat="false" ht="14.25" hidden="false" customHeight="false" outlineLevel="0" collapsed="false">
      <c r="A19" s="24" t="n">
        <v>13200</v>
      </c>
      <c r="B19" s="32" t="s">
        <v>191</v>
      </c>
    </row>
    <row r="20" customFormat="false" ht="14.25" hidden="false" customHeight="false" outlineLevel="0" collapsed="false">
      <c r="A20" s="24" t="n">
        <v>13300</v>
      </c>
      <c r="B20" s="32" t="s">
        <v>192</v>
      </c>
    </row>
    <row r="21" customFormat="false" ht="14.25" hidden="false" customHeight="false" outlineLevel="0" collapsed="false">
      <c r="A21" s="24" t="n">
        <v>13400</v>
      </c>
      <c r="B21" s="32" t="s">
        <v>193</v>
      </c>
    </row>
    <row r="22" customFormat="false" ht="14.25" hidden="false" customHeight="false" outlineLevel="0" collapsed="false">
      <c r="A22" s="24" t="n">
        <v>13500</v>
      </c>
      <c r="B22" s="32" t="s">
        <v>194</v>
      </c>
    </row>
    <row r="23" customFormat="false" ht="14.25" hidden="false" customHeight="false" outlineLevel="0" collapsed="false">
      <c r="A23" s="24" t="n">
        <v>13900</v>
      </c>
      <c r="B23" s="32" t="s">
        <v>195</v>
      </c>
    </row>
    <row r="24" customFormat="false" ht="14.25" hidden="false" customHeight="false" outlineLevel="0" collapsed="false">
      <c r="A24" s="24" t="n">
        <v>14200</v>
      </c>
      <c r="B24" s="32" t="s">
        <v>196</v>
      </c>
    </row>
    <row r="25" customFormat="false" ht="14.25" hidden="false" customHeight="false" outlineLevel="0" collapsed="false">
      <c r="A25" s="24" t="n">
        <v>14300</v>
      </c>
      <c r="B25" s="32" t="s">
        <v>197</v>
      </c>
    </row>
    <row r="26" customFormat="false" ht="14.25" hidden="false" customHeight="false" outlineLevel="0" collapsed="false">
      <c r="A26" s="24" t="n">
        <v>14400</v>
      </c>
      <c r="B26" s="32" t="s">
        <v>198</v>
      </c>
    </row>
    <row r="27" customFormat="false" ht="14.25" hidden="false" customHeight="false" outlineLevel="0" collapsed="false">
      <c r="A27" s="24" t="n">
        <v>14500</v>
      </c>
      <c r="B27" s="32" t="s">
        <v>199</v>
      </c>
    </row>
    <row r="28" customFormat="false" ht="14.25" hidden="false" customHeight="false" outlineLevel="0" collapsed="false">
      <c r="A28" s="24" t="n">
        <v>14900</v>
      </c>
      <c r="B28" s="32" t="s">
        <v>200</v>
      </c>
    </row>
    <row r="29" customFormat="false" ht="14.25" hidden="false" customHeight="false" outlineLevel="0" collapsed="false">
      <c r="A29" s="24" t="n">
        <v>19000</v>
      </c>
      <c r="B29" s="32" t="s">
        <v>201</v>
      </c>
    </row>
    <row r="30" customFormat="false" ht="14.25" hidden="false" customHeight="false" outlineLevel="0" collapsed="false">
      <c r="A30" s="24" t="n">
        <v>20000</v>
      </c>
      <c r="B30" s="32" t="s">
        <v>202</v>
      </c>
    </row>
    <row r="31" customFormat="false" ht="14.25" hidden="false" customHeight="false" outlineLevel="0" collapsed="false">
      <c r="A31" s="24" t="n">
        <v>21000</v>
      </c>
      <c r="B31" s="32" t="s">
        <v>203</v>
      </c>
    </row>
    <row r="32" customFormat="false" ht="14.25" hidden="false" customHeight="false" outlineLevel="0" collapsed="false">
      <c r="A32" s="24" t="n">
        <v>21100</v>
      </c>
      <c r="B32" s="32" t="s">
        <v>204</v>
      </c>
    </row>
    <row r="33" customFormat="false" ht="14.25" hidden="false" customHeight="false" outlineLevel="0" collapsed="false">
      <c r="A33" s="24" t="n">
        <v>21200</v>
      </c>
      <c r="B33" s="32" t="s">
        <v>205</v>
      </c>
    </row>
    <row r="34" customFormat="false" ht="14.25" hidden="false" customHeight="false" outlineLevel="0" collapsed="false">
      <c r="A34" s="24" t="n">
        <v>21400</v>
      </c>
      <c r="B34" s="32" t="s">
        <v>206</v>
      </c>
    </row>
    <row r="35" customFormat="false" ht="14.25" hidden="false" customHeight="false" outlineLevel="0" collapsed="false">
      <c r="A35" s="24" t="n">
        <v>22100</v>
      </c>
      <c r="B35" s="32" t="s">
        <v>207</v>
      </c>
    </row>
    <row r="36" customFormat="false" ht="14.25" hidden="false" customHeight="false" outlineLevel="0" collapsed="false">
      <c r="A36" s="24" t="n">
        <v>22120</v>
      </c>
      <c r="B36" s="32" t="s">
        <v>208</v>
      </c>
    </row>
    <row r="37" customFormat="false" ht="14.25" hidden="false" customHeight="false" outlineLevel="0" collapsed="false">
      <c r="A37" s="24" t="n">
        <v>22130</v>
      </c>
      <c r="B37" s="32" t="s">
        <v>209</v>
      </c>
    </row>
    <row r="38" customFormat="false" ht="14.25" hidden="false" customHeight="false" outlineLevel="0" collapsed="false">
      <c r="A38" s="24" t="n">
        <v>22140</v>
      </c>
      <c r="B38" s="32" t="s">
        <v>210</v>
      </c>
    </row>
    <row r="39" customFormat="false" ht="14.25" hidden="false" customHeight="false" outlineLevel="0" collapsed="false">
      <c r="A39" s="24" t="n">
        <v>22150</v>
      </c>
      <c r="B39" s="32" t="s">
        <v>211</v>
      </c>
    </row>
    <row r="40" customFormat="false" ht="14.25" hidden="false" customHeight="false" outlineLevel="0" collapsed="false">
      <c r="A40" s="24" t="n">
        <v>22200</v>
      </c>
      <c r="B40" s="32" t="s">
        <v>212</v>
      </c>
    </row>
    <row r="41" customFormat="false" ht="14.25" hidden="false" customHeight="false" outlineLevel="0" collapsed="false">
      <c r="A41" s="24" t="n">
        <v>22250</v>
      </c>
      <c r="B41" s="32" t="s">
        <v>213</v>
      </c>
    </row>
    <row r="42" customFormat="false" ht="14.25" hidden="false" customHeight="false" outlineLevel="0" collapsed="false">
      <c r="A42" s="24" t="n">
        <v>22300</v>
      </c>
      <c r="B42" s="32" t="s">
        <v>214</v>
      </c>
    </row>
    <row r="43" customFormat="false" ht="14.25" hidden="false" customHeight="false" outlineLevel="0" collapsed="false">
      <c r="A43" s="24" t="n">
        <v>22350</v>
      </c>
      <c r="B43" s="32" t="s">
        <v>215</v>
      </c>
    </row>
    <row r="44" customFormat="false" ht="14.25" hidden="false" customHeight="false" outlineLevel="0" collapsed="false">
      <c r="A44" s="24" t="n">
        <v>22400</v>
      </c>
      <c r="B44" s="32" t="s">
        <v>216</v>
      </c>
    </row>
    <row r="45" customFormat="false" ht="14.25" hidden="false" customHeight="false" outlineLevel="0" collapsed="false">
      <c r="A45" s="24" t="n">
        <v>22450</v>
      </c>
      <c r="B45" s="32" t="s">
        <v>217</v>
      </c>
    </row>
    <row r="46" customFormat="false" ht="14.25" hidden="false" customHeight="false" outlineLevel="0" collapsed="false">
      <c r="A46" s="24" t="n">
        <v>22500</v>
      </c>
      <c r="B46" s="32" t="s">
        <v>218</v>
      </c>
    </row>
    <row r="47" customFormat="false" ht="14.25" hidden="false" customHeight="false" outlineLevel="0" collapsed="false">
      <c r="A47" s="24" t="n">
        <v>22600</v>
      </c>
      <c r="B47" s="32" t="s">
        <v>219</v>
      </c>
    </row>
    <row r="48" customFormat="false" ht="14.25" hidden="false" customHeight="false" outlineLevel="0" collapsed="false">
      <c r="A48" s="24" t="n">
        <v>22900</v>
      </c>
      <c r="B48" s="32" t="s">
        <v>220</v>
      </c>
    </row>
    <row r="49" customFormat="false" ht="14.25" hidden="false" customHeight="false" outlineLevel="0" collapsed="false">
      <c r="A49" s="24" t="n">
        <v>23050</v>
      </c>
      <c r="B49" s="32" t="s">
        <v>221</v>
      </c>
    </row>
    <row r="50" customFormat="false" ht="14.25" hidden="false" customHeight="false" outlineLevel="0" collapsed="false">
      <c r="A50" s="24" t="n">
        <v>23100</v>
      </c>
      <c r="B50" s="32" t="s">
        <v>222</v>
      </c>
    </row>
    <row r="51" customFormat="false" ht="14.25" hidden="false" customHeight="false" outlineLevel="0" collapsed="false">
      <c r="A51" s="24" t="n">
        <v>23200</v>
      </c>
      <c r="B51" s="32" t="s">
        <v>223</v>
      </c>
    </row>
    <row r="52" customFormat="false" ht="14.25" hidden="false" customHeight="false" outlineLevel="0" collapsed="false">
      <c r="A52" s="24" t="n">
        <v>23300</v>
      </c>
      <c r="B52" s="32" t="s">
        <v>224</v>
      </c>
    </row>
    <row r="53" customFormat="false" ht="14.25" hidden="false" customHeight="false" outlineLevel="0" collapsed="false">
      <c r="A53" s="24" t="n">
        <v>23400</v>
      </c>
      <c r="B53" s="32" t="s">
        <v>225</v>
      </c>
    </row>
    <row r="54" customFormat="false" ht="14.25" hidden="false" customHeight="false" outlineLevel="0" collapsed="false">
      <c r="A54" s="24" t="n">
        <v>23500</v>
      </c>
      <c r="B54" s="32" t="s">
        <v>226</v>
      </c>
    </row>
    <row r="55" customFormat="false" ht="16.4" hidden="false" customHeight="false" outlineLevel="0" collapsed="false">
      <c r="A55" s="24" t="n">
        <v>23600</v>
      </c>
      <c r="B55" s="32" t="s">
        <v>227</v>
      </c>
    </row>
    <row r="56" customFormat="false" ht="14.25" hidden="false" customHeight="false" outlineLevel="0" collapsed="false">
      <c r="A56" s="24" t="n">
        <v>23610</v>
      </c>
      <c r="B56" s="32" t="s">
        <v>228</v>
      </c>
    </row>
    <row r="57" customFormat="false" ht="14.25" hidden="false" customHeight="false" outlineLevel="0" collapsed="false">
      <c r="A57" s="24" t="n">
        <v>23611</v>
      </c>
      <c r="B57" s="32" t="s">
        <v>229</v>
      </c>
    </row>
    <row r="58" customFormat="false" ht="14.25" hidden="false" customHeight="false" outlineLevel="0" collapsed="false">
      <c r="A58" s="24" t="n">
        <v>23620</v>
      </c>
      <c r="B58" s="32" t="s">
        <v>230</v>
      </c>
    </row>
    <row r="59" customFormat="false" ht="16.4" hidden="false" customHeight="false" outlineLevel="0" collapsed="false">
      <c r="A59" s="24" t="n">
        <v>23700</v>
      </c>
      <c r="B59" s="32" t="s">
        <v>231</v>
      </c>
    </row>
    <row r="60" customFormat="false" ht="14.25" hidden="false" customHeight="false" outlineLevel="0" collapsed="false">
      <c r="A60" s="24" t="n">
        <v>23800</v>
      </c>
      <c r="B60" s="32" t="s">
        <v>232</v>
      </c>
    </row>
    <row r="61" customFormat="false" ht="14.25" hidden="false" customHeight="false" outlineLevel="0" collapsed="false">
      <c r="A61" s="24" t="n">
        <v>23900</v>
      </c>
      <c r="B61" s="32" t="s">
        <v>233</v>
      </c>
    </row>
    <row r="62" customFormat="false" ht="14.25" hidden="false" customHeight="false" outlineLevel="0" collapsed="false">
      <c r="A62" s="24" t="n">
        <v>24100</v>
      </c>
      <c r="B62" s="32" t="s">
        <v>234</v>
      </c>
    </row>
    <row r="63" customFormat="false" ht="14.25" hidden="false" customHeight="false" outlineLevel="0" collapsed="false">
      <c r="A63" s="24" t="n">
        <v>24110</v>
      </c>
      <c r="B63" s="32" t="s">
        <v>235</v>
      </c>
    </row>
    <row r="64" customFormat="false" ht="14.25" hidden="false" customHeight="false" outlineLevel="0" collapsed="false">
      <c r="A64" s="24" t="n">
        <v>24150</v>
      </c>
      <c r="B64" s="32" t="s">
        <v>236</v>
      </c>
    </row>
    <row r="65" customFormat="false" ht="14.25" hidden="false" customHeight="false" outlineLevel="0" collapsed="false">
      <c r="A65" s="24" t="n">
        <v>24200</v>
      </c>
      <c r="B65" s="32" t="s">
        <v>237</v>
      </c>
    </row>
    <row r="66" customFormat="false" ht="14.25" hidden="false" customHeight="false" outlineLevel="0" collapsed="false">
      <c r="A66" s="24" t="n">
        <v>24250</v>
      </c>
      <c r="B66" s="32" t="s">
        <v>238</v>
      </c>
    </row>
    <row r="67" customFormat="false" ht="14.25" hidden="false" customHeight="false" outlineLevel="0" collapsed="false">
      <c r="A67" s="24" t="n">
        <v>24300</v>
      </c>
      <c r="B67" s="32" t="s">
        <v>239</v>
      </c>
    </row>
    <row r="68" customFormat="false" ht="14.25" hidden="false" customHeight="false" outlineLevel="0" collapsed="false">
      <c r="A68" s="24" t="n">
        <v>24350</v>
      </c>
      <c r="B68" s="32" t="s">
        <v>240</v>
      </c>
    </row>
    <row r="69" customFormat="false" ht="14.25" hidden="false" customHeight="false" outlineLevel="0" collapsed="false">
      <c r="A69" s="24" t="n">
        <v>24400</v>
      </c>
      <c r="B69" s="32" t="s">
        <v>241</v>
      </c>
    </row>
    <row r="70" customFormat="false" ht="14.25" hidden="false" customHeight="false" outlineLevel="0" collapsed="false">
      <c r="A70" s="24" t="n">
        <v>24410</v>
      </c>
      <c r="B70" s="32" t="s">
        <v>242</v>
      </c>
    </row>
    <row r="71" customFormat="false" ht="14.25" hidden="false" customHeight="false" outlineLevel="0" collapsed="false">
      <c r="A71" s="24" t="n">
        <v>24450</v>
      </c>
      <c r="B71" s="32" t="s">
        <v>243</v>
      </c>
    </row>
    <row r="72" customFormat="false" ht="14.25" hidden="false" customHeight="false" outlineLevel="0" collapsed="false">
      <c r="A72" s="24" t="n">
        <v>24460</v>
      </c>
      <c r="B72" s="32" t="s">
        <v>244</v>
      </c>
    </row>
    <row r="73" customFormat="false" ht="14.25" hidden="false" customHeight="false" outlineLevel="0" collapsed="false">
      <c r="A73" s="24" t="n">
        <v>24500</v>
      </c>
      <c r="B73" s="32" t="s">
        <v>245</v>
      </c>
    </row>
    <row r="74" customFormat="false" ht="14.25" hidden="false" customHeight="false" outlineLevel="0" collapsed="false">
      <c r="A74" s="24" t="n">
        <v>24550</v>
      </c>
      <c r="B74" s="32" t="s">
        <v>246</v>
      </c>
    </row>
    <row r="75" customFormat="false" ht="14.25" hidden="false" customHeight="false" outlineLevel="0" collapsed="false">
      <c r="A75" s="24" t="n">
        <v>24600</v>
      </c>
      <c r="B75" s="32" t="s">
        <v>247</v>
      </c>
    </row>
    <row r="76" customFormat="false" ht="14.25" hidden="false" customHeight="false" outlineLevel="0" collapsed="false">
      <c r="A76" s="24" t="n">
        <v>24610</v>
      </c>
      <c r="B76" s="32" t="s">
        <v>248</v>
      </c>
    </row>
    <row r="77" customFormat="false" ht="14.25" hidden="false" customHeight="false" outlineLevel="0" collapsed="false">
      <c r="A77" s="24" t="n">
        <v>24700</v>
      </c>
      <c r="B77" s="32" t="s">
        <v>249</v>
      </c>
    </row>
    <row r="78" customFormat="false" ht="14.25" hidden="false" customHeight="false" outlineLevel="0" collapsed="false">
      <c r="A78" s="24" t="n">
        <v>24710</v>
      </c>
      <c r="B78" s="32" t="s">
        <v>250</v>
      </c>
    </row>
    <row r="79" customFormat="false" ht="14.25" hidden="false" customHeight="false" outlineLevel="0" collapsed="false">
      <c r="A79" s="24" t="n">
        <v>24720</v>
      </c>
      <c r="B79" s="32" t="s">
        <v>251</v>
      </c>
    </row>
    <row r="80" customFormat="false" ht="14.25" hidden="false" customHeight="false" outlineLevel="0" collapsed="false">
      <c r="A80" s="24" t="n">
        <v>24730</v>
      </c>
      <c r="B80" s="32" t="s">
        <v>252</v>
      </c>
    </row>
    <row r="81" customFormat="false" ht="14.25" hidden="false" customHeight="false" outlineLevel="0" collapsed="false">
      <c r="A81" s="24" t="n">
        <v>24740</v>
      </c>
      <c r="B81" s="32" t="s">
        <v>253</v>
      </c>
    </row>
    <row r="82" customFormat="false" ht="14.25" hidden="false" customHeight="false" outlineLevel="0" collapsed="false">
      <c r="A82" s="24" t="n">
        <v>24750</v>
      </c>
      <c r="B82" s="32" t="s">
        <v>254</v>
      </c>
    </row>
    <row r="83" customFormat="false" ht="14.25" hidden="false" customHeight="false" outlineLevel="0" collapsed="false">
      <c r="A83" s="24" t="n">
        <v>24760</v>
      </c>
      <c r="B83" s="32" t="s">
        <v>255</v>
      </c>
    </row>
    <row r="84" customFormat="false" ht="14.25" hidden="false" customHeight="false" outlineLevel="0" collapsed="false">
      <c r="A84" s="24" t="n">
        <v>24800</v>
      </c>
      <c r="B84" s="32" t="s">
        <v>256</v>
      </c>
    </row>
    <row r="85" customFormat="false" ht="14.25" hidden="false" customHeight="false" outlineLevel="0" collapsed="false">
      <c r="A85" s="24" t="n">
        <v>24810</v>
      </c>
      <c r="B85" s="32" t="s">
        <v>257</v>
      </c>
    </row>
    <row r="86" customFormat="false" ht="14.25" hidden="false" customHeight="false" outlineLevel="0" collapsed="false">
      <c r="A86" s="24" t="n">
        <v>24820</v>
      </c>
      <c r="B86" s="32" t="s">
        <v>258</v>
      </c>
    </row>
    <row r="87" customFormat="false" ht="14.25" hidden="false" customHeight="false" outlineLevel="0" collapsed="false">
      <c r="A87" s="24" t="n">
        <v>24900</v>
      </c>
      <c r="B87" s="32" t="s">
        <v>259</v>
      </c>
    </row>
    <row r="88" customFormat="false" ht="14.25" hidden="false" customHeight="false" outlineLevel="0" collapsed="false">
      <c r="A88" s="24" t="n">
        <v>25100</v>
      </c>
      <c r="B88" s="32" t="s">
        <v>260</v>
      </c>
    </row>
    <row r="89" customFormat="false" ht="14.25" hidden="false" customHeight="false" outlineLevel="0" collapsed="false">
      <c r="A89" s="24" t="n">
        <v>25300</v>
      </c>
      <c r="B89" s="32" t="s">
        <v>261</v>
      </c>
    </row>
    <row r="90" customFormat="false" ht="14.25" hidden="false" customHeight="false" outlineLevel="0" collapsed="false">
      <c r="A90" s="24" t="n">
        <v>25900</v>
      </c>
      <c r="B90" s="32" t="s">
        <v>262</v>
      </c>
    </row>
    <row r="91" customFormat="false" ht="14.25" hidden="false" customHeight="false" outlineLevel="0" collapsed="false">
      <c r="A91" s="24" t="n">
        <v>26200</v>
      </c>
      <c r="B91" s="32" t="s">
        <v>263</v>
      </c>
    </row>
    <row r="92" customFormat="false" ht="14.25" hidden="false" customHeight="false" outlineLevel="0" collapsed="false">
      <c r="A92" s="24" t="n">
        <v>26400</v>
      </c>
      <c r="B92" s="32" t="s">
        <v>264</v>
      </c>
    </row>
    <row r="93" customFormat="false" ht="14.25" hidden="false" customHeight="false" outlineLevel="0" collapsed="false">
      <c r="A93" s="24" t="n">
        <v>26900</v>
      </c>
      <c r="B93" s="32" t="s">
        <v>265</v>
      </c>
    </row>
    <row r="94" customFormat="false" ht="14.25" hidden="false" customHeight="false" outlineLevel="0" collapsed="false">
      <c r="A94" s="24" t="n">
        <v>27000</v>
      </c>
      <c r="B94" s="32" t="s">
        <v>266</v>
      </c>
    </row>
    <row r="95" customFormat="false" ht="14.25" hidden="false" customHeight="false" outlineLevel="0" collapsed="false">
      <c r="A95" s="24" t="n">
        <v>27100</v>
      </c>
      <c r="B95" s="32" t="s">
        <v>267</v>
      </c>
    </row>
    <row r="96" customFormat="false" ht="14.25" hidden="false" customHeight="false" outlineLevel="0" collapsed="false">
      <c r="A96" s="24" t="n">
        <v>27200</v>
      </c>
      <c r="B96" s="32" t="s">
        <v>268</v>
      </c>
    </row>
    <row r="97" customFormat="false" ht="14.25" hidden="false" customHeight="false" outlineLevel="0" collapsed="false">
      <c r="A97" s="24" t="n">
        <v>27300</v>
      </c>
      <c r="B97" s="32" t="s">
        <v>269</v>
      </c>
    </row>
    <row r="98" customFormat="false" ht="14.25" hidden="false" customHeight="false" outlineLevel="0" collapsed="false">
      <c r="A98" s="24" t="n">
        <v>27310</v>
      </c>
      <c r="B98" s="32" t="s">
        <v>270</v>
      </c>
    </row>
    <row r="99" customFormat="false" ht="14.25" hidden="false" customHeight="false" outlineLevel="0" collapsed="false">
      <c r="A99" s="24" t="n">
        <v>27400</v>
      </c>
      <c r="B99" s="32" t="s">
        <v>271</v>
      </c>
    </row>
    <row r="100" customFormat="false" ht="14.25" hidden="false" customHeight="false" outlineLevel="0" collapsed="false">
      <c r="A100" s="24" t="n">
        <v>27900</v>
      </c>
      <c r="B100" s="32" t="s">
        <v>272</v>
      </c>
    </row>
    <row r="101" customFormat="false" ht="14.25" hidden="false" customHeight="false" outlineLevel="0" collapsed="false">
      <c r="A101" s="24" t="n">
        <v>28000</v>
      </c>
      <c r="B101" s="32" t="s">
        <v>273</v>
      </c>
    </row>
    <row r="102" customFormat="false" ht="14.25" hidden="false" customHeight="false" outlineLevel="0" collapsed="false">
      <c r="A102" s="24" t="n">
        <v>28100</v>
      </c>
      <c r="B102" s="32" t="s">
        <v>274</v>
      </c>
    </row>
    <row r="103" customFormat="false" ht="14.25" hidden="false" customHeight="false" outlineLevel="0" collapsed="false">
      <c r="A103" s="24" t="n">
        <v>28200</v>
      </c>
      <c r="B103" s="32" t="s">
        <v>275</v>
      </c>
    </row>
    <row r="104" customFormat="false" ht="14.25" hidden="false" customHeight="false" outlineLevel="0" collapsed="false">
      <c r="A104" s="24" t="n">
        <v>28300</v>
      </c>
      <c r="B104" s="32" t="s">
        <v>276</v>
      </c>
    </row>
    <row r="105" customFormat="false" ht="14.25" hidden="false" customHeight="false" outlineLevel="0" collapsed="false">
      <c r="A105" s="24" t="n">
        <v>28400</v>
      </c>
      <c r="B105" s="32" t="s">
        <v>277</v>
      </c>
    </row>
    <row r="106" customFormat="false" ht="14.25" hidden="false" customHeight="false" outlineLevel="0" collapsed="false">
      <c r="A106" s="24" t="n">
        <v>28500</v>
      </c>
      <c r="B106" s="32" t="s">
        <v>278</v>
      </c>
    </row>
    <row r="107" customFormat="false" ht="14.25" hidden="false" customHeight="false" outlineLevel="0" collapsed="false">
      <c r="A107" s="24" t="n">
        <v>28900</v>
      </c>
      <c r="B107" s="32" t="s">
        <v>279</v>
      </c>
    </row>
    <row r="108" customFormat="false" ht="14.25" hidden="false" customHeight="false" outlineLevel="0" collapsed="false">
      <c r="A108" s="24" t="n">
        <v>29200</v>
      </c>
      <c r="B108" s="32" t="s">
        <v>280</v>
      </c>
    </row>
    <row r="109" customFormat="false" ht="14.25" hidden="false" customHeight="false" outlineLevel="0" collapsed="false">
      <c r="A109" s="24" t="n">
        <v>29300</v>
      </c>
      <c r="B109" s="32" t="s">
        <v>281</v>
      </c>
    </row>
    <row r="110" customFormat="false" ht="14.25" hidden="false" customHeight="false" outlineLevel="0" collapsed="false">
      <c r="A110" s="24" t="n">
        <v>29400</v>
      </c>
      <c r="B110" s="32" t="s">
        <v>282</v>
      </c>
    </row>
    <row r="111" customFormat="false" ht="14.25" hidden="false" customHeight="false" outlineLevel="0" collapsed="false">
      <c r="A111" s="24" t="n">
        <v>29500</v>
      </c>
      <c r="B111" s="32" t="s">
        <v>283</v>
      </c>
    </row>
    <row r="112" customFormat="false" ht="14.25" hidden="false" customHeight="false" outlineLevel="0" collapsed="false">
      <c r="A112" s="24" t="n">
        <v>29600</v>
      </c>
      <c r="B112" s="32" t="s">
        <v>284</v>
      </c>
    </row>
    <row r="113" customFormat="false" ht="14.25" hidden="false" customHeight="false" outlineLevel="0" collapsed="false">
      <c r="A113" s="24" t="n">
        <v>29700</v>
      </c>
      <c r="B113" s="32" t="s">
        <v>285</v>
      </c>
    </row>
    <row r="114" customFormat="false" ht="14.25" hidden="false" customHeight="false" outlineLevel="0" collapsed="false">
      <c r="A114" s="24" t="n">
        <v>29800</v>
      </c>
      <c r="B114" s="32" t="s">
        <v>286</v>
      </c>
    </row>
    <row r="115" customFormat="false" ht="14.25" hidden="false" customHeight="false" outlineLevel="0" collapsed="false">
      <c r="A115" s="24" t="n">
        <v>29900</v>
      </c>
      <c r="B115" s="32" t="s">
        <v>287</v>
      </c>
    </row>
    <row r="116" customFormat="false" ht="14.25" hidden="false" customHeight="false" outlineLevel="0" collapsed="false">
      <c r="A116" s="24" t="n">
        <v>30000</v>
      </c>
      <c r="B116" s="32" t="s">
        <v>288</v>
      </c>
    </row>
    <row r="117" customFormat="false" ht="14.25" hidden="false" customHeight="false" outlineLevel="0" collapsed="false">
      <c r="A117" s="24" t="n">
        <v>30100</v>
      </c>
      <c r="B117" s="32" t="s">
        <v>289</v>
      </c>
    </row>
    <row r="118" customFormat="false" ht="14.25" hidden="false" customHeight="false" outlineLevel="0" collapsed="false">
      <c r="A118" s="24" t="n">
        <v>31100</v>
      </c>
      <c r="B118" s="32" t="s">
        <v>290</v>
      </c>
    </row>
    <row r="119" customFormat="false" ht="14.25" hidden="false" customHeight="false" outlineLevel="0" collapsed="false">
      <c r="A119" s="24" t="n">
        <v>31200</v>
      </c>
      <c r="B119" s="32" t="s">
        <v>291</v>
      </c>
    </row>
    <row r="120" customFormat="false" ht="14.25" hidden="false" customHeight="false" outlineLevel="0" collapsed="false">
      <c r="A120" s="24" t="n">
        <v>31300</v>
      </c>
      <c r="B120" s="32" t="s">
        <v>292</v>
      </c>
    </row>
    <row r="121" customFormat="false" ht="14.25" hidden="false" customHeight="false" outlineLevel="0" collapsed="false">
      <c r="A121" s="24" t="n">
        <v>31400</v>
      </c>
      <c r="B121" s="32" t="s">
        <v>293</v>
      </c>
    </row>
    <row r="122" customFormat="false" ht="14.25" hidden="false" customHeight="false" outlineLevel="0" collapsed="false">
      <c r="A122" s="24" t="n">
        <v>31500</v>
      </c>
      <c r="B122" s="32" t="s">
        <v>294</v>
      </c>
    </row>
    <row r="123" customFormat="false" ht="14.25" hidden="false" customHeight="false" outlineLevel="0" collapsed="false">
      <c r="A123" s="24" t="n">
        <v>31900</v>
      </c>
      <c r="B123" s="32" t="s">
        <v>295</v>
      </c>
    </row>
    <row r="124" customFormat="false" ht="14.25" hidden="false" customHeight="false" outlineLevel="0" collapsed="false">
      <c r="A124" s="24" t="n">
        <v>32000</v>
      </c>
      <c r="B124" s="32" t="s">
        <v>296</v>
      </c>
    </row>
    <row r="125" customFormat="false" ht="14.25" hidden="false" customHeight="false" outlineLevel="0" collapsed="false">
      <c r="A125" s="24" t="n">
        <v>32010</v>
      </c>
      <c r="B125" s="32" t="s">
        <v>297</v>
      </c>
    </row>
    <row r="126" customFormat="false" ht="14.25" hidden="false" customHeight="false" outlineLevel="0" collapsed="false">
      <c r="A126" s="24" t="n">
        <v>32012</v>
      </c>
      <c r="B126" s="32" t="s">
        <v>298</v>
      </c>
    </row>
    <row r="127" customFormat="false" ht="14.25" hidden="false" customHeight="false" outlineLevel="0" collapsed="false">
      <c r="A127" s="24" t="n">
        <v>32100</v>
      </c>
      <c r="B127" s="32" t="s">
        <v>299</v>
      </c>
    </row>
    <row r="128" customFormat="false" ht="14.25" hidden="false" customHeight="false" outlineLevel="0" collapsed="false">
      <c r="A128" s="24" t="n">
        <v>32110</v>
      </c>
      <c r="B128" s="32" t="s">
        <v>300</v>
      </c>
    </row>
    <row r="129" customFormat="false" ht="14.25" hidden="false" customHeight="false" outlineLevel="0" collapsed="false">
      <c r="A129" s="24" t="n">
        <v>32120</v>
      </c>
      <c r="B129" s="32" t="s">
        <v>301</v>
      </c>
    </row>
    <row r="130" customFormat="false" ht="14.25" hidden="false" customHeight="false" outlineLevel="0" collapsed="false">
      <c r="A130" s="24" t="n">
        <v>32150</v>
      </c>
      <c r="B130" s="32" t="s">
        <v>302</v>
      </c>
    </row>
    <row r="131" customFormat="false" ht="14.25" hidden="false" customHeight="false" outlineLevel="0" collapsed="false">
      <c r="A131" s="24" t="n">
        <v>32200</v>
      </c>
      <c r="B131" s="32" t="s">
        <v>303</v>
      </c>
    </row>
    <row r="132" customFormat="false" ht="16.4" hidden="false" customHeight="false" outlineLevel="0" collapsed="false">
      <c r="A132" s="24" t="n">
        <v>32250</v>
      </c>
      <c r="B132" s="32" t="s">
        <v>304</v>
      </c>
    </row>
    <row r="133" customFormat="false" ht="14.25" hidden="false" customHeight="false" outlineLevel="0" collapsed="false">
      <c r="A133" s="24" t="n">
        <v>32300</v>
      </c>
      <c r="B133" s="32" t="s">
        <v>305</v>
      </c>
    </row>
    <row r="134" customFormat="false" ht="16.4" hidden="false" customHeight="false" outlineLevel="0" collapsed="false">
      <c r="A134" s="24" t="n">
        <v>32350</v>
      </c>
      <c r="B134" s="32" t="s">
        <v>306</v>
      </c>
    </row>
    <row r="135" customFormat="false" ht="14.25" hidden="false" customHeight="false" outlineLevel="0" collapsed="false">
      <c r="A135" s="24" t="n">
        <v>32400</v>
      </c>
      <c r="B135" s="32" t="s">
        <v>307</v>
      </c>
    </row>
    <row r="136" customFormat="false" ht="16.4" hidden="false" customHeight="false" outlineLevel="0" collapsed="false">
      <c r="A136" s="24" t="n">
        <v>32450</v>
      </c>
      <c r="B136" s="32" t="s">
        <v>308</v>
      </c>
    </row>
    <row r="137" customFormat="false" ht="14.25" hidden="false" customHeight="false" outlineLevel="0" collapsed="false">
      <c r="A137" s="24" t="n">
        <v>32500</v>
      </c>
      <c r="B137" s="32" t="s">
        <v>309</v>
      </c>
    </row>
    <row r="138" customFormat="false" ht="16.4" hidden="false" customHeight="false" outlineLevel="0" collapsed="false">
      <c r="A138" s="24" t="n">
        <v>32900</v>
      </c>
      <c r="B138" s="32" t="s">
        <v>310</v>
      </c>
    </row>
    <row r="139" customFormat="false" ht="14.25" hidden="false" customHeight="false" outlineLevel="0" collapsed="false">
      <c r="A139" s="24" t="n">
        <v>33000</v>
      </c>
      <c r="B139" s="32" t="s">
        <v>311</v>
      </c>
    </row>
    <row r="140" customFormat="false" ht="16.4" hidden="false" customHeight="false" outlineLevel="0" collapsed="false">
      <c r="A140" s="24" t="n">
        <v>33100</v>
      </c>
      <c r="B140" s="32" t="s">
        <v>312</v>
      </c>
    </row>
    <row r="141" customFormat="false" ht="14.25" hidden="false" customHeight="false" outlineLevel="0" collapsed="false">
      <c r="A141" s="24" t="n">
        <v>33150</v>
      </c>
      <c r="B141" s="32" t="s">
        <v>313</v>
      </c>
    </row>
    <row r="142" customFormat="false" ht="14.25" hidden="false" customHeight="false" outlineLevel="0" collapsed="false">
      <c r="A142" s="24" t="n">
        <v>33200</v>
      </c>
      <c r="B142" s="32" t="s">
        <v>314</v>
      </c>
    </row>
    <row r="143" customFormat="false" ht="16.4" hidden="false" customHeight="false" outlineLevel="0" collapsed="false">
      <c r="A143" s="24" t="n">
        <v>33250</v>
      </c>
      <c r="B143" s="32" t="s">
        <v>315</v>
      </c>
    </row>
    <row r="144" customFormat="false" ht="14.25" hidden="false" customHeight="false" outlineLevel="0" collapsed="false">
      <c r="A144" s="24" t="n">
        <v>33300</v>
      </c>
      <c r="B144" s="32" t="s">
        <v>316</v>
      </c>
    </row>
    <row r="145" customFormat="false" ht="14.25" hidden="false" customHeight="false" outlineLevel="0" collapsed="false">
      <c r="A145" s="24" t="n">
        <v>33310</v>
      </c>
      <c r="B145" s="32" t="s">
        <v>317</v>
      </c>
    </row>
    <row r="146" customFormat="false" ht="14.25" hidden="false" customHeight="false" outlineLevel="0" collapsed="false">
      <c r="A146" s="24" t="n">
        <v>33320</v>
      </c>
      <c r="B146" s="32" t="s">
        <v>318</v>
      </c>
    </row>
    <row r="147" customFormat="false" ht="14.25" hidden="false" customHeight="false" outlineLevel="0" collapsed="false">
      <c r="A147" s="24" t="n">
        <v>33350</v>
      </c>
      <c r="B147" s="32" t="s">
        <v>319</v>
      </c>
    </row>
    <row r="148" customFormat="false" ht="14.25" hidden="false" customHeight="false" outlineLevel="0" collapsed="false">
      <c r="A148" s="24" t="n">
        <v>33400</v>
      </c>
      <c r="B148" s="32" t="s">
        <v>320</v>
      </c>
    </row>
    <row r="149" customFormat="false" ht="14.25" hidden="false" customHeight="false" outlineLevel="0" collapsed="false">
      <c r="A149" s="24" t="n">
        <v>33410</v>
      </c>
      <c r="B149" s="32" t="s">
        <v>321</v>
      </c>
    </row>
    <row r="150" customFormat="false" ht="14.25" hidden="false" customHeight="false" outlineLevel="0" collapsed="false">
      <c r="A150" s="24" t="n">
        <v>33420</v>
      </c>
      <c r="B150" s="32" t="s">
        <v>322</v>
      </c>
    </row>
    <row r="151" customFormat="false" ht="14.25" hidden="false" customHeight="false" outlineLevel="0" collapsed="false">
      <c r="A151" s="24" t="n">
        <v>33450</v>
      </c>
      <c r="B151" s="32" t="s">
        <v>323</v>
      </c>
    </row>
    <row r="152" customFormat="false" ht="14.25" hidden="false" customHeight="false" outlineLevel="0" collapsed="false">
      <c r="A152" s="24" t="n">
        <v>33460</v>
      </c>
      <c r="B152" s="32" t="s">
        <v>324</v>
      </c>
    </row>
    <row r="153" customFormat="false" ht="14.25" hidden="false" customHeight="false" outlineLevel="0" collapsed="false">
      <c r="A153" s="24" t="n">
        <v>33500</v>
      </c>
      <c r="B153" s="32" t="s">
        <v>325</v>
      </c>
    </row>
    <row r="154" customFormat="false" ht="14.25" hidden="false" customHeight="false" outlineLevel="0" collapsed="false">
      <c r="A154" s="24" t="n">
        <v>33510</v>
      </c>
      <c r="B154" s="32" t="s">
        <v>326</v>
      </c>
    </row>
    <row r="155" customFormat="false" ht="14.25" hidden="false" customHeight="false" outlineLevel="0" collapsed="false">
      <c r="A155" s="24" t="n">
        <v>33600</v>
      </c>
      <c r="B155" s="32" t="s">
        <v>327</v>
      </c>
    </row>
    <row r="156" customFormat="false" ht="14.25" hidden="false" customHeight="false" outlineLevel="0" collapsed="false">
      <c r="A156" s="24" t="n">
        <v>33610</v>
      </c>
      <c r="B156" s="32" t="s">
        <v>328</v>
      </c>
    </row>
    <row r="157" customFormat="false" ht="14.25" hidden="false" customHeight="false" outlineLevel="0" collapsed="false">
      <c r="A157" s="24" t="n">
        <v>33900</v>
      </c>
      <c r="B157" s="32" t="s">
        <v>329</v>
      </c>
    </row>
    <row r="158" customFormat="false" ht="14.25" hidden="false" customHeight="false" outlineLevel="0" collapsed="false">
      <c r="A158" s="24" t="n">
        <v>34000</v>
      </c>
      <c r="B158" s="32" t="s">
        <v>330</v>
      </c>
    </row>
    <row r="159" customFormat="false" ht="14.25" hidden="false" customHeight="false" outlineLevel="0" collapsed="false">
      <c r="A159" s="24" t="n">
        <v>34010</v>
      </c>
      <c r="B159" s="32" t="s">
        <v>331</v>
      </c>
    </row>
    <row r="160" customFormat="false" ht="14.25" hidden="false" customHeight="false" outlineLevel="0" collapsed="false">
      <c r="A160" s="24" t="n">
        <v>34040</v>
      </c>
      <c r="B160" s="32" t="s">
        <v>332</v>
      </c>
    </row>
    <row r="161" customFormat="false" ht="16.4" hidden="false" customHeight="false" outlineLevel="0" collapsed="false">
      <c r="A161" s="24" t="n">
        <v>34050</v>
      </c>
      <c r="B161" s="32" t="s">
        <v>333</v>
      </c>
    </row>
    <row r="162" customFormat="false" ht="14.25" hidden="false" customHeight="false" outlineLevel="0" collapsed="false">
      <c r="A162" s="24" t="n">
        <v>34060</v>
      </c>
      <c r="B162" s="32" t="s">
        <v>334</v>
      </c>
    </row>
    <row r="163" customFormat="false" ht="16.4" hidden="false" customHeight="false" outlineLevel="0" collapsed="false">
      <c r="A163" s="24" t="n">
        <v>34100</v>
      </c>
      <c r="B163" s="32" t="s">
        <v>335</v>
      </c>
    </row>
    <row r="164" customFormat="false" ht="16.4" hidden="false" customHeight="false" outlineLevel="0" collapsed="false">
      <c r="A164" s="24" t="n">
        <v>34110</v>
      </c>
      <c r="B164" s="33" t="s">
        <v>336</v>
      </c>
    </row>
    <row r="165" customFormat="false" ht="14.25" hidden="false" customHeight="false" outlineLevel="0" collapsed="false">
      <c r="A165" s="24" t="n">
        <v>34120</v>
      </c>
      <c r="B165" s="32" t="s">
        <v>337</v>
      </c>
    </row>
    <row r="166" customFormat="false" ht="14.25" hidden="false" customHeight="false" outlineLevel="0" collapsed="false">
      <c r="A166" s="24" t="n">
        <v>34130</v>
      </c>
      <c r="B166" s="32" t="s">
        <v>338</v>
      </c>
    </row>
    <row r="167" customFormat="false" ht="14.25" hidden="false" customHeight="false" outlineLevel="0" collapsed="false">
      <c r="A167" s="24" t="n">
        <v>34140</v>
      </c>
      <c r="B167" s="32" t="s">
        <v>339</v>
      </c>
    </row>
    <row r="168" customFormat="false" ht="14.25" hidden="false" customHeight="false" outlineLevel="0" collapsed="false">
      <c r="A168" s="24" t="n">
        <v>34150</v>
      </c>
      <c r="B168" s="32" t="s">
        <v>340</v>
      </c>
    </row>
    <row r="169" customFormat="false" ht="14.25" hidden="false" customHeight="false" outlineLevel="0" collapsed="false">
      <c r="A169" s="24" t="n">
        <v>34160</v>
      </c>
      <c r="B169" s="32" t="s">
        <v>341</v>
      </c>
    </row>
    <row r="170" customFormat="false" ht="14.25" hidden="false" customHeight="false" outlineLevel="0" collapsed="false">
      <c r="A170" s="24" t="n">
        <v>34161</v>
      </c>
      <c r="B170" s="32" t="s">
        <v>342</v>
      </c>
    </row>
    <row r="171" customFormat="false" ht="14.25" hidden="false" customHeight="false" outlineLevel="0" collapsed="false">
      <c r="A171" s="24" t="n">
        <v>34162</v>
      </c>
      <c r="B171" s="32" t="s">
        <v>343</v>
      </c>
    </row>
    <row r="172" customFormat="false" ht="14.25" hidden="false" customHeight="false" outlineLevel="0" collapsed="false">
      <c r="A172" s="24" t="n">
        <v>34170</v>
      </c>
      <c r="B172" s="32" t="s">
        <v>344</v>
      </c>
    </row>
    <row r="173" customFormat="false" ht="14.25" hidden="false" customHeight="false" outlineLevel="0" collapsed="false">
      <c r="A173" s="24" t="n">
        <v>34200</v>
      </c>
      <c r="B173" s="32" t="s">
        <v>345</v>
      </c>
    </row>
    <row r="174" customFormat="false" ht="14.25" hidden="false" customHeight="false" outlineLevel="0" collapsed="false">
      <c r="A174" s="24" t="n">
        <v>34210</v>
      </c>
      <c r="B174" s="32" t="s">
        <v>346</v>
      </c>
    </row>
    <row r="175" customFormat="false" ht="14.25" hidden="false" customHeight="false" outlineLevel="0" collapsed="false">
      <c r="A175" s="24" t="n">
        <v>34220</v>
      </c>
      <c r="B175" s="32" t="s">
        <v>347</v>
      </c>
    </row>
    <row r="176" customFormat="false" ht="14.25" hidden="false" customHeight="false" outlineLevel="0" collapsed="false">
      <c r="A176" s="24" t="n">
        <v>34221</v>
      </c>
      <c r="B176" s="32" t="s">
        <v>348</v>
      </c>
    </row>
    <row r="177" customFormat="false" ht="14.25" hidden="false" customHeight="false" outlineLevel="0" collapsed="false">
      <c r="A177" s="24" t="n">
        <v>34230</v>
      </c>
      <c r="B177" s="32" t="s">
        <v>349</v>
      </c>
    </row>
    <row r="178" customFormat="false" ht="14.25" hidden="false" customHeight="false" outlineLevel="0" collapsed="false">
      <c r="A178" s="24" t="n">
        <v>34240</v>
      </c>
      <c r="B178" s="32" t="s">
        <v>350</v>
      </c>
    </row>
    <row r="179" customFormat="false" ht="14.25" hidden="false" customHeight="false" outlineLevel="0" collapsed="false">
      <c r="A179" s="24" t="n">
        <v>34250</v>
      </c>
      <c r="B179" s="32" t="s">
        <v>351</v>
      </c>
    </row>
    <row r="180" customFormat="false" ht="14.25" hidden="false" customHeight="false" outlineLevel="0" collapsed="false">
      <c r="A180" s="24" t="n">
        <v>34260</v>
      </c>
      <c r="B180" s="32" t="s">
        <v>352</v>
      </c>
    </row>
    <row r="181" customFormat="false" ht="14.25" hidden="false" customHeight="false" outlineLevel="0" collapsed="false">
      <c r="A181" s="24" t="n">
        <v>34270</v>
      </c>
      <c r="B181" s="32" t="s">
        <v>353</v>
      </c>
    </row>
    <row r="182" customFormat="false" ht="14.25" hidden="false" customHeight="false" outlineLevel="0" collapsed="false">
      <c r="A182" s="24" t="n">
        <v>34280</v>
      </c>
      <c r="B182" s="32" t="s">
        <v>354</v>
      </c>
    </row>
    <row r="183" customFormat="false" ht="14.25" hidden="false" customHeight="false" outlineLevel="0" collapsed="false">
      <c r="A183" s="24" t="n">
        <v>34290</v>
      </c>
      <c r="B183" s="32" t="s">
        <v>355</v>
      </c>
    </row>
    <row r="184" customFormat="false" ht="14.25" hidden="false" customHeight="false" outlineLevel="0" collapsed="false">
      <c r="A184" s="24" t="n">
        <v>34300</v>
      </c>
      <c r="B184" s="32" t="s">
        <v>356</v>
      </c>
    </row>
    <row r="185" customFormat="false" ht="14.25" hidden="false" customHeight="false" outlineLevel="0" collapsed="false">
      <c r="A185" s="24" t="n">
        <v>34310</v>
      </c>
      <c r="B185" s="32" t="s">
        <v>357</v>
      </c>
    </row>
    <row r="186" customFormat="false" ht="14.25" hidden="false" customHeight="false" outlineLevel="0" collapsed="false">
      <c r="A186" s="24" t="n">
        <v>34320</v>
      </c>
      <c r="B186" s="32" t="s">
        <v>358</v>
      </c>
    </row>
    <row r="187" customFormat="false" ht="14.25" hidden="false" customHeight="false" outlineLevel="0" collapsed="false">
      <c r="A187" s="24" t="n">
        <v>34350</v>
      </c>
      <c r="B187" s="32" t="s">
        <v>359</v>
      </c>
    </row>
    <row r="188" customFormat="false" ht="14.25" hidden="false" customHeight="false" outlineLevel="0" collapsed="false">
      <c r="A188" s="24" t="n">
        <v>34400</v>
      </c>
      <c r="B188" s="32" t="s">
        <v>360</v>
      </c>
    </row>
    <row r="189" customFormat="false" ht="14.25" hidden="false" customHeight="false" outlineLevel="0" collapsed="false">
      <c r="A189" s="24" t="n">
        <v>34450</v>
      </c>
      <c r="B189" s="32" t="s">
        <v>361</v>
      </c>
    </row>
    <row r="190" customFormat="false" ht="14.25" hidden="false" customHeight="false" outlineLevel="0" collapsed="false">
      <c r="A190" s="24" t="n">
        <v>34460</v>
      </c>
      <c r="B190" s="32" t="s">
        <v>362</v>
      </c>
    </row>
    <row r="191" customFormat="false" ht="14.25" hidden="false" customHeight="false" outlineLevel="0" collapsed="false">
      <c r="A191" s="24" t="n">
        <v>34470</v>
      </c>
      <c r="B191" s="32" t="s">
        <v>363</v>
      </c>
    </row>
    <row r="192" customFormat="false" ht="14.25" hidden="false" customHeight="false" outlineLevel="0" collapsed="false">
      <c r="A192" s="24" t="n">
        <v>34471</v>
      </c>
      <c r="B192" s="32" t="s">
        <v>364</v>
      </c>
    </row>
    <row r="193" customFormat="false" ht="14.25" hidden="false" customHeight="false" outlineLevel="0" collapsed="false">
      <c r="A193" s="24" t="n">
        <v>34480</v>
      </c>
      <c r="B193" s="32" t="s">
        <v>365</v>
      </c>
    </row>
    <row r="194" customFormat="false" ht="14.25" hidden="false" customHeight="false" outlineLevel="0" collapsed="false">
      <c r="A194" s="24" t="n">
        <v>34490</v>
      </c>
      <c r="B194" s="32" t="s">
        <v>366</v>
      </c>
    </row>
    <row r="195" customFormat="false" ht="14.25" hidden="false" customHeight="false" outlineLevel="0" collapsed="false">
      <c r="A195" s="24" t="n">
        <v>34500</v>
      </c>
      <c r="B195" s="32" t="s">
        <v>367</v>
      </c>
    </row>
    <row r="196" customFormat="false" ht="14.25" hidden="false" customHeight="false" outlineLevel="0" collapsed="false">
      <c r="A196" s="24" t="n">
        <v>34550</v>
      </c>
      <c r="B196" s="32" t="s">
        <v>368</v>
      </c>
    </row>
    <row r="197" customFormat="false" ht="14.25" hidden="false" customHeight="false" outlineLevel="0" collapsed="false">
      <c r="A197" s="24" t="n">
        <v>34600</v>
      </c>
      <c r="B197" s="32" t="s">
        <v>369</v>
      </c>
    </row>
    <row r="198" customFormat="false" ht="14.25" hidden="false" customHeight="false" outlineLevel="0" collapsed="false">
      <c r="A198" s="24" t="n">
        <v>34900</v>
      </c>
      <c r="B198" s="32" t="s">
        <v>370</v>
      </c>
    </row>
    <row r="199" customFormat="false" ht="16.4" hidden="false" customHeight="false" outlineLevel="0" collapsed="false">
      <c r="A199" s="24" t="n">
        <v>35100</v>
      </c>
      <c r="B199" s="32" t="s">
        <v>371</v>
      </c>
    </row>
    <row r="200" customFormat="false" ht="14.25" hidden="false" customHeight="false" outlineLevel="0" collapsed="false">
      <c r="A200" s="24" t="n">
        <v>35150</v>
      </c>
      <c r="B200" s="32" t="s">
        <v>372</v>
      </c>
    </row>
    <row r="201" customFormat="false" ht="14.25" hidden="false" customHeight="false" outlineLevel="0" collapsed="false">
      <c r="A201" s="24" t="n">
        <v>35200</v>
      </c>
      <c r="B201" s="32" t="s">
        <v>373</v>
      </c>
    </row>
    <row r="202" customFormat="false" ht="14.25" hidden="false" customHeight="false" outlineLevel="0" collapsed="false">
      <c r="A202" s="24" t="n">
        <v>35210</v>
      </c>
      <c r="B202" s="32" t="s">
        <v>374</v>
      </c>
    </row>
    <row r="203" customFormat="false" ht="14.25" hidden="false" customHeight="false" outlineLevel="0" collapsed="false">
      <c r="A203" s="24" t="n">
        <v>35211</v>
      </c>
      <c r="B203" s="32" t="s">
        <v>375</v>
      </c>
    </row>
    <row r="204" customFormat="false" ht="14.25" hidden="false" customHeight="false" outlineLevel="0" collapsed="false">
      <c r="A204" s="24" t="n">
        <v>35220</v>
      </c>
      <c r="B204" s="32" t="s">
        <v>376</v>
      </c>
    </row>
    <row r="205" customFormat="false" ht="14.25" hidden="false" customHeight="false" outlineLevel="0" collapsed="false">
      <c r="A205" s="24" t="n">
        <v>35230</v>
      </c>
      <c r="B205" s="32" t="s">
        <v>377</v>
      </c>
    </row>
    <row r="206" customFormat="false" ht="14.25" hidden="false" customHeight="false" outlineLevel="0" collapsed="false">
      <c r="A206" s="24" t="n">
        <v>35240</v>
      </c>
      <c r="B206" s="32" t="s">
        <v>378</v>
      </c>
    </row>
    <row r="207" customFormat="false" ht="14.25" hidden="false" customHeight="false" outlineLevel="0" collapsed="false">
      <c r="A207" s="24" t="n">
        <v>35250</v>
      </c>
      <c r="B207" s="32" t="s">
        <v>379</v>
      </c>
    </row>
    <row r="208" customFormat="false" ht="14.25" hidden="false" customHeight="false" outlineLevel="0" collapsed="false">
      <c r="A208" s="24" t="n">
        <v>35260</v>
      </c>
      <c r="B208" s="32" t="s">
        <v>380</v>
      </c>
    </row>
    <row r="209" customFormat="false" ht="14.25" hidden="false" customHeight="false" outlineLevel="0" collapsed="false">
      <c r="A209" s="24" t="n">
        <v>35270</v>
      </c>
      <c r="B209" s="32" t="s">
        <v>381</v>
      </c>
    </row>
    <row r="210" customFormat="false" ht="14.25" hidden="false" customHeight="false" outlineLevel="0" collapsed="false">
      <c r="A210" s="24" t="n">
        <v>35300</v>
      </c>
      <c r="B210" s="32" t="s">
        <v>382</v>
      </c>
    </row>
    <row r="211" customFormat="false" ht="14.25" hidden="false" customHeight="false" outlineLevel="0" collapsed="false">
      <c r="A211" s="24" t="n">
        <v>35350</v>
      </c>
      <c r="B211" s="32" t="s">
        <v>383</v>
      </c>
    </row>
    <row r="212" customFormat="false" ht="14.25" hidden="false" customHeight="false" outlineLevel="0" collapsed="false">
      <c r="A212" s="24" t="n">
        <v>35400</v>
      </c>
      <c r="B212" s="32" t="s">
        <v>384</v>
      </c>
    </row>
    <row r="213" customFormat="false" ht="14.25" hidden="false" customHeight="false" outlineLevel="0" collapsed="false">
      <c r="A213" s="24" t="n">
        <v>35410</v>
      </c>
      <c r="B213" s="32" t="s">
        <v>385</v>
      </c>
    </row>
    <row r="214" customFormat="false" ht="14.25" hidden="false" customHeight="false" outlineLevel="0" collapsed="false">
      <c r="A214" s="24" t="n">
        <v>35411</v>
      </c>
      <c r="B214" s="32" t="s">
        <v>386</v>
      </c>
    </row>
    <row r="215" customFormat="false" ht="14.25" hidden="false" customHeight="false" outlineLevel="0" collapsed="false">
      <c r="A215" s="24" t="n">
        <v>35420</v>
      </c>
      <c r="B215" s="32" t="s">
        <v>387</v>
      </c>
    </row>
    <row r="216" customFormat="false" ht="14.25" hidden="false" customHeight="false" outlineLevel="0" collapsed="false">
      <c r="A216" s="24" t="n">
        <v>35440</v>
      </c>
      <c r="B216" s="32" t="s">
        <v>388</v>
      </c>
    </row>
    <row r="217" customFormat="false" ht="14.25" hidden="false" customHeight="false" outlineLevel="0" collapsed="false">
      <c r="A217" s="24" t="n">
        <v>35450</v>
      </c>
      <c r="B217" s="32" t="s">
        <v>389</v>
      </c>
    </row>
    <row r="218" customFormat="false" ht="14.25" hidden="false" customHeight="false" outlineLevel="0" collapsed="false">
      <c r="A218" s="24" t="n">
        <v>35460</v>
      </c>
      <c r="B218" s="32" t="s">
        <v>390</v>
      </c>
    </row>
    <row r="219" customFormat="false" ht="14.25" hidden="false" customHeight="false" outlineLevel="0" collapsed="false">
      <c r="A219" s="24" t="n">
        <v>35470</v>
      </c>
      <c r="B219" s="32" t="s">
        <v>391</v>
      </c>
    </row>
    <row r="220" customFormat="false" ht="14.25" hidden="false" customHeight="false" outlineLevel="0" collapsed="false">
      <c r="A220" s="24" t="n">
        <v>35500</v>
      </c>
      <c r="B220" s="32" t="s">
        <v>392</v>
      </c>
    </row>
    <row r="221" customFormat="false" ht="14.25" hidden="false" customHeight="false" outlineLevel="0" collapsed="false">
      <c r="A221" s="24" t="n">
        <v>35550</v>
      </c>
      <c r="B221" s="32" t="s">
        <v>393</v>
      </c>
    </row>
    <row r="222" customFormat="false" ht="14.25" hidden="false" customHeight="false" outlineLevel="0" collapsed="false">
      <c r="A222" s="24" t="n">
        <v>35600</v>
      </c>
      <c r="B222" s="32" t="s">
        <v>394</v>
      </c>
    </row>
    <row r="223" customFormat="false" ht="14.25" hidden="false" customHeight="false" outlineLevel="0" collapsed="false">
      <c r="A223" s="24" t="n">
        <v>35650</v>
      </c>
      <c r="B223" s="32" t="s">
        <v>395</v>
      </c>
    </row>
    <row r="224" customFormat="false" ht="14.25" hidden="false" customHeight="false" outlineLevel="0" collapsed="false">
      <c r="A224" s="24" t="n">
        <v>35700</v>
      </c>
      <c r="B224" s="32" t="s">
        <v>396</v>
      </c>
    </row>
    <row r="225" customFormat="false" ht="14.25" hidden="false" customHeight="false" outlineLevel="0" collapsed="false">
      <c r="A225" s="24" t="n">
        <v>35750</v>
      </c>
      <c r="B225" s="32" t="s">
        <v>397</v>
      </c>
    </row>
    <row r="226" customFormat="false" ht="14.25" hidden="false" customHeight="false" outlineLevel="0" collapsed="false">
      <c r="A226" s="24" t="n">
        <v>35800</v>
      </c>
      <c r="B226" s="32" t="s">
        <v>398</v>
      </c>
    </row>
    <row r="227" customFormat="false" ht="14.25" hidden="false" customHeight="false" outlineLevel="0" collapsed="false">
      <c r="A227" s="24" t="n">
        <v>35900</v>
      </c>
      <c r="B227" s="32" t="s">
        <v>399</v>
      </c>
    </row>
    <row r="228" customFormat="false" ht="16.4" hidden="false" customHeight="false" outlineLevel="0" collapsed="false">
      <c r="A228" s="24" t="n">
        <v>36100</v>
      </c>
      <c r="B228" s="32" t="s">
        <v>400</v>
      </c>
    </row>
    <row r="229" customFormat="false" ht="14.25" hidden="false" customHeight="false" outlineLevel="0" collapsed="false">
      <c r="A229" s="24" t="n">
        <v>36150</v>
      </c>
      <c r="B229" s="32" t="s">
        <v>401</v>
      </c>
    </row>
    <row r="230" customFormat="false" ht="14.25" hidden="false" customHeight="false" outlineLevel="0" collapsed="false">
      <c r="A230" s="24" t="n">
        <v>36200</v>
      </c>
      <c r="B230" s="32" t="s">
        <v>402</v>
      </c>
    </row>
    <row r="231" customFormat="false" ht="14.25" hidden="false" customHeight="false" outlineLevel="0" collapsed="false">
      <c r="A231" s="24" t="n">
        <v>36250</v>
      </c>
      <c r="B231" s="32" t="s">
        <v>403</v>
      </c>
    </row>
    <row r="232" customFormat="false" ht="14.25" hidden="false" customHeight="false" outlineLevel="0" collapsed="false">
      <c r="A232" s="24" t="n">
        <v>36300</v>
      </c>
      <c r="B232" s="32" t="s">
        <v>404</v>
      </c>
    </row>
    <row r="233" customFormat="false" ht="14.25" hidden="false" customHeight="false" outlineLevel="0" collapsed="false">
      <c r="A233" s="24" t="n">
        <v>36301</v>
      </c>
      <c r="B233" s="32" t="s">
        <v>405</v>
      </c>
    </row>
    <row r="234" customFormat="false" ht="14.25" hidden="false" customHeight="false" outlineLevel="0" collapsed="false">
      <c r="A234" s="24" t="n">
        <v>36350</v>
      </c>
      <c r="B234" s="32" t="s">
        <v>406</v>
      </c>
    </row>
    <row r="235" customFormat="false" ht="14.25" hidden="false" customHeight="false" outlineLevel="0" collapsed="false">
      <c r="A235" s="24" t="n">
        <v>36360</v>
      </c>
      <c r="B235" s="32" t="s">
        <v>407</v>
      </c>
    </row>
    <row r="236" customFormat="false" ht="14.25" hidden="false" customHeight="false" outlineLevel="0" collapsed="false">
      <c r="A236" s="24" t="n">
        <v>36370</v>
      </c>
      <c r="B236" s="32" t="s">
        <v>408</v>
      </c>
    </row>
    <row r="237" customFormat="false" ht="14.25" hidden="false" customHeight="false" outlineLevel="0" collapsed="false">
      <c r="A237" s="24" t="n">
        <v>36400</v>
      </c>
      <c r="B237" s="32" t="s">
        <v>409</v>
      </c>
    </row>
    <row r="238" customFormat="false" ht="14.25" hidden="false" customHeight="false" outlineLevel="0" collapsed="false">
      <c r="A238" s="24" t="n">
        <v>36410</v>
      </c>
      <c r="B238" s="32" t="s">
        <v>410</v>
      </c>
    </row>
    <row r="239" customFormat="false" ht="14.25" hidden="false" customHeight="false" outlineLevel="0" collapsed="false">
      <c r="A239" s="24" t="n">
        <v>36420</v>
      </c>
      <c r="B239" s="32" t="s">
        <v>411</v>
      </c>
    </row>
    <row r="240" customFormat="false" ht="14.25" hidden="false" customHeight="false" outlineLevel="0" collapsed="false">
      <c r="A240" s="24" t="n">
        <v>36450</v>
      </c>
      <c r="B240" s="32" t="s">
        <v>412</v>
      </c>
    </row>
    <row r="241" customFormat="false" ht="14.25" hidden="false" customHeight="false" outlineLevel="0" collapsed="false">
      <c r="A241" s="24" t="n">
        <v>36900</v>
      </c>
      <c r="B241" s="32" t="s">
        <v>413</v>
      </c>
    </row>
    <row r="242" customFormat="false" ht="16.4" hidden="false" customHeight="false" outlineLevel="0" collapsed="false">
      <c r="A242" s="24" t="n">
        <v>37100</v>
      </c>
      <c r="B242" s="32" t="s">
        <v>414</v>
      </c>
    </row>
    <row r="243" customFormat="false" ht="14.25" hidden="false" customHeight="false" outlineLevel="0" collapsed="false">
      <c r="A243" s="24" t="n">
        <v>37200</v>
      </c>
      <c r="B243" s="32" t="s">
        <v>415</v>
      </c>
    </row>
    <row r="244" customFormat="false" ht="14.25" hidden="false" customHeight="false" outlineLevel="0" collapsed="false">
      <c r="A244" s="24" t="n">
        <v>37300</v>
      </c>
      <c r="B244" s="32" t="s">
        <v>416</v>
      </c>
    </row>
    <row r="245" customFormat="false" ht="14.25" hidden="false" customHeight="false" outlineLevel="0" collapsed="false">
      <c r="A245" s="24" t="n">
        <v>37900</v>
      </c>
      <c r="B245" s="32" t="s">
        <v>417</v>
      </c>
    </row>
    <row r="246" customFormat="false" ht="16.4" hidden="false" customHeight="false" outlineLevel="0" collapsed="false">
      <c r="A246" s="24" t="n">
        <v>38100</v>
      </c>
      <c r="B246" s="32" t="s">
        <v>418</v>
      </c>
    </row>
    <row r="247" customFormat="false" ht="14.25" hidden="false" customHeight="false" outlineLevel="0" collapsed="false">
      <c r="A247" s="24" t="n">
        <v>38300</v>
      </c>
      <c r="B247" s="32" t="s">
        <v>419</v>
      </c>
    </row>
    <row r="248" customFormat="false" ht="16.4" hidden="false" customHeight="false" outlineLevel="0" collapsed="false">
      <c r="A248" s="24" t="n">
        <v>38900</v>
      </c>
      <c r="B248" s="32" t="s">
        <v>420</v>
      </c>
    </row>
    <row r="249" customFormat="false" ht="14.25" hidden="false" customHeight="false" outlineLevel="0" collapsed="false">
      <c r="A249" s="24" t="n">
        <v>39000</v>
      </c>
      <c r="B249" s="32" t="s">
        <v>421</v>
      </c>
    </row>
    <row r="250" customFormat="false" ht="14.25" hidden="false" customHeight="false" outlineLevel="0" collapsed="false">
      <c r="A250" s="24" t="n">
        <v>39200</v>
      </c>
      <c r="B250" s="32" t="s">
        <v>422</v>
      </c>
    </row>
    <row r="251" customFormat="false" ht="14.25" hidden="false" customHeight="false" outlineLevel="0" collapsed="false">
      <c r="A251" s="24" t="n">
        <v>39300</v>
      </c>
      <c r="B251" s="32" t="s">
        <v>423</v>
      </c>
    </row>
    <row r="252" customFormat="false" ht="14.25" hidden="false" customHeight="false" outlineLevel="0" collapsed="false">
      <c r="A252" s="24" t="n">
        <v>39400</v>
      </c>
      <c r="B252" s="32" t="s">
        <v>424</v>
      </c>
    </row>
    <row r="253" customFormat="false" ht="14.25" hidden="false" customHeight="false" outlineLevel="0" collapsed="false">
      <c r="A253" s="24" t="n">
        <v>39500</v>
      </c>
      <c r="B253" s="32" t="s">
        <v>425</v>
      </c>
    </row>
    <row r="254" customFormat="false" ht="14.25" hidden="false" customHeight="false" outlineLevel="0" collapsed="false">
      <c r="A254" s="24" t="n">
        <v>39600</v>
      </c>
      <c r="B254" s="32" t="s">
        <v>426</v>
      </c>
    </row>
    <row r="255" customFormat="false" ht="14.25" hidden="false" customHeight="false" outlineLevel="0" collapsed="false">
      <c r="A255" s="24" t="n">
        <v>39700</v>
      </c>
      <c r="B255" s="32" t="s">
        <v>427</v>
      </c>
    </row>
    <row r="256" customFormat="false" ht="14.25" hidden="false" customHeight="false" outlineLevel="0" collapsed="false">
      <c r="A256" s="24" t="n">
        <v>39710</v>
      </c>
      <c r="B256" s="32" t="s">
        <v>428</v>
      </c>
    </row>
    <row r="257" customFormat="false" ht="14.25" hidden="false" customHeight="false" outlineLevel="0" collapsed="false">
      <c r="A257" s="24" t="n">
        <v>39720</v>
      </c>
      <c r="B257" s="32" t="s">
        <v>429</v>
      </c>
    </row>
    <row r="258" customFormat="false" ht="14.25" hidden="false" customHeight="false" outlineLevel="0" collapsed="false">
      <c r="A258" s="24" t="n">
        <v>39730</v>
      </c>
      <c r="B258" s="32" t="s">
        <v>430</v>
      </c>
    </row>
    <row r="259" customFormat="false" ht="14.25" hidden="false" customHeight="false" outlineLevel="0" collapsed="false">
      <c r="A259" s="24" t="n">
        <v>39800</v>
      </c>
      <c r="B259" s="32" t="s">
        <v>431</v>
      </c>
    </row>
    <row r="260" customFormat="false" ht="14.25" hidden="false" customHeight="false" outlineLevel="0" collapsed="false">
      <c r="A260" s="24" t="n">
        <v>39810</v>
      </c>
      <c r="B260" s="32" t="s">
        <v>432</v>
      </c>
    </row>
    <row r="261" customFormat="false" ht="14.25" hidden="false" customHeight="false" outlineLevel="0" collapsed="false">
      <c r="A261" s="24" t="n">
        <v>39811</v>
      </c>
      <c r="B261" s="32" t="s">
        <v>433</v>
      </c>
    </row>
    <row r="262" customFormat="false" ht="14.25" hidden="false" customHeight="false" outlineLevel="0" collapsed="false">
      <c r="A262" s="24" t="n">
        <v>39820</v>
      </c>
      <c r="B262" s="32" t="s">
        <v>434</v>
      </c>
    </row>
    <row r="263" customFormat="false" ht="14.25" hidden="false" customHeight="false" outlineLevel="0" collapsed="false">
      <c r="A263" s="24" t="n">
        <v>39821</v>
      </c>
      <c r="B263" s="32" t="s">
        <v>435</v>
      </c>
    </row>
    <row r="264" customFormat="false" ht="14.25" hidden="false" customHeight="false" outlineLevel="0" collapsed="false">
      <c r="A264" s="24" t="n">
        <v>39822</v>
      </c>
      <c r="B264" s="32" t="s">
        <v>436</v>
      </c>
    </row>
    <row r="265" customFormat="false" ht="14.25" hidden="false" customHeight="false" outlineLevel="0" collapsed="false">
      <c r="A265" s="24" t="n">
        <v>39830</v>
      </c>
      <c r="B265" s="32" t="s">
        <v>437</v>
      </c>
    </row>
    <row r="266" customFormat="false" ht="14.25" hidden="false" customHeight="false" outlineLevel="0" collapsed="false">
      <c r="A266" s="24" t="n">
        <v>39831</v>
      </c>
      <c r="B266" s="32" t="s">
        <v>438</v>
      </c>
    </row>
    <row r="267" customFormat="false" ht="14.25" hidden="false" customHeight="false" outlineLevel="0" collapsed="false">
      <c r="A267" s="24" t="n">
        <v>39832</v>
      </c>
      <c r="B267" s="32" t="s">
        <v>439</v>
      </c>
    </row>
    <row r="268" customFormat="false" ht="14.25" hidden="false" customHeight="false" outlineLevel="0" collapsed="false">
      <c r="A268" s="24" t="n">
        <v>39839</v>
      </c>
      <c r="B268" s="32" t="s">
        <v>440</v>
      </c>
    </row>
    <row r="269" customFormat="false" ht="14.25" hidden="false" customHeight="false" outlineLevel="0" collapsed="false">
      <c r="A269" s="24" t="n">
        <v>39840</v>
      </c>
      <c r="B269" s="32" t="s">
        <v>441</v>
      </c>
    </row>
    <row r="270" customFormat="false" ht="14.25" hidden="false" customHeight="false" outlineLevel="0" collapsed="false">
      <c r="A270" s="24" t="n">
        <v>39841</v>
      </c>
      <c r="B270" s="32" t="s">
        <v>442</v>
      </c>
    </row>
    <row r="271" customFormat="false" ht="14.25" hidden="false" customHeight="false" outlineLevel="0" collapsed="false">
      <c r="A271" s="24" t="n">
        <v>39850</v>
      </c>
      <c r="B271" s="32" t="s">
        <v>380</v>
      </c>
    </row>
    <row r="272" customFormat="false" ht="14.25" hidden="false" customHeight="false" outlineLevel="0" collapsed="false">
      <c r="A272" s="24" t="n">
        <v>39860</v>
      </c>
      <c r="B272" s="32" t="s">
        <v>443</v>
      </c>
    </row>
    <row r="273" customFormat="false" ht="14.25" hidden="false" customHeight="false" outlineLevel="0" collapsed="false">
      <c r="A273" s="24" t="n">
        <v>39870</v>
      </c>
      <c r="B273" s="32" t="s">
        <v>444</v>
      </c>
    </row>
    <row r="274" customFormat="false" ht="14.25" hidden="false" customHeight="false" outlineLevel="0" collapsed="false">
      <c r="A274" s="24" t="n">
        <v>39880</v>
      </c>
      <c r="B274" s="32" t="s">
        <v>445</v>
      </c>
    </row>
    <row r="275" customFormat="false" ht="14.25" hidden="false" customHeight="false" outlineLevel="0" collapsed="false">
      <c r="A275" s="24" t="n">
        <v>39900</v>
      </c>
      <c r="B275" s="32" t="s">
        <v>446</v>
      </c>
    </row>
    <row r="276" customFormat="false" ht="16.4" hidden="false" customHeight="false" outlineLevel="0" collapsed="false">
      <c r="A276" s="24" t="n">
        <v>41100</v>
      </c>
      <c r="B276" s="32" t="s">
        <v>447</v>
      </c>
    </row>
    <row r="277" customFormat="false" ht="14.25" hidden="false" customHeight="false" outlineLevel="0" collapsed="false">
      <c r="A277" s="24" t="n">
        <v>41200</v>
      </c>
      <c r="B277" s="32" t="s">
        <v>448</v>
      </c>
    </row>
    <row r="278" customFormat="false" ht="14.25" hidden="false" customHeight="false" outlineLevel="0" collapsed="false">
      <c r="A278" s="24" t="n">
        <v>41300</v>
      </c>
      <c r="B278" s="32" t="s">
        <v>449</v>
      </c>
    </row>
    <row r="279" customFormat="false" ht="14.25" hidden="false" customHeight="false" outlineLevel="0" collapsed="false">
      <c r="A279" s="24" t="n">
        <v>41400</v>
      </c>
      <c r="B279" s="32" t="s">
        <v>450</v>
      </c>
    </row>
    <row r="280" customFormat="false" ht="14.25" hidden="false" customHeight="false" outlineLevel="0" collapsed="false">
      <c r="A280" s="24" t="n">
        <v>41500</v>
      </c>
      <c r="B280" s="32" t="s">
        <v>451</v>
      </c>
    </row>
    <row r="281" customFormat="false" ht="14.25" hidden="false" customHeight="false" outlineLevel="0" collapsed="false">
      <c r="A281" s="24" t="n">
        <v>41600</v>
      </c>
      <c r="B281" s="32" t="s">
        <v>452</v>
      </c>
    </row>
    <row r="282" customFormat="false" ht="14.25" hidden="false" customHeight="false" outlineLevel="0" collapsed="false">
      <c r="A282" s="24" t="n">
        <v>42100</v>
      </c>
      <c r="B282" s="32" t="s">
        <v>453</v>
      </c>
    </row>
    <row r="283" customFormat="false" ht="14.25" hidden="false" customHeight="false" outlineLevel="0" collapsed="false">
      <c r="A283" s="24" t="n">
        <v>42200</v>
      </c>
      <c r="B283" s="32" t="s">
        <v>454</v>
      </c>
    </row>
    <row r="284" customFormat="false" ht="14.25" hidden="false" customHeight="false" outlineLevel="0" collapsed="false">
      <c r="A284" s="24" t="n">
        <v>42300</v>
      </c>
      <c r="B284" s="32" t="s">
        <v>455</v>
      </c>
    </row>
    <row r="285" customFormat="false" ht="14.25" hidden="false" customHeight="false" outlineLevel="0" collapsed="false">
      <c r="A285" s="24" t="n">
        <v>42400</v>
      </c>
      <c r="B285" s="32" t="s">
        <v>456</v>
      </c>
    </row>
    <row r="286" customFormat="false" ht="14.25" hidden="false" customHeight="false" outlineLevel="0" collapsed="false">
      <c r="A286" s="24" t="n">
        <v>42500</v>
      </c>
      <c r="B286" s="32" t="s">
        <v>457</v>
      </c>
    </row>
    <row r="287" customFormat="false" ht="14.25" hidden="false" customHeight="false" outlineLevel="0" collapsed="false">
      <c r="A287" s="24" t="n">
        <v>42600</v>
      </c>
      <c r="B287" s="32" t="s">
        <v>458</v>
      </c>
    </row>
    <row r="288" customFormat="false" ht="14.25" hidden="false" customHeight="false" outlineLevel="0" collapsed="false">
      <c r="A288" s="24" t="n">
        <v>42610</v>
      </c>
      <c r="B288" s="32" t="s">
        <v>459</v>
      </c>
    </row>
    <row r="289" customFormat="false" ht="14.25" hidden="false" customHeight="false" outlineLevel="0" collapsed="false">
      <c r="A289" s="24" t="n">
        <v>42620</v>
      </c>
      <c r="B289" s="32" t="s">
        <v>460</v>
      </c>
    </row>
    <row r="290" customFormat="false" ht="14.25" hidden="false" customHeight="false" outlineLevel="0" collapsed="false">
      <c r="A290" s="24" t="n">
        <v>42700</v>
      </c>
      <c r="B290" s="32" t="s">
        <v>461</v>
      </c>
    </row>
    <row r="291" customFormat="false" ht="14.25" hidden="false" customHeight="false" outlineLevel="0" collapsed="false">
      <c r="A291" s="24" t="n">
        <v>42710</v>
      </c>
      <c r="B291" s="32" t="s">
        <v>462</v>
      </c>
    </row>
    <row r="292" customFormat="false" ht="14.25" hidden="false" customHeight="false" outlineLevel="0" collapsed="false">
      <c r="A292" s="24" t="n">
        <v>42800</v>
      </c>
      <c r="B292" s="32" t="s">
        <v>463</v>
      </c>
    </row>
    <row r="293" customFormat="false" ht="14.25" hidden="false" customHeight="false" outlineLevel="0" collapsed="false">
      <c r="A293" s="24" t="n">
        <v>42900</v>
      </c>
      <c r="B293" s="32" t="s">
        <v>464</v>
      </c>
    </row>
    <row r="294" customFormat="false" ht="14.25" hidden="false" customHeight="false" outlineLevel="0" collapsed="false">
      <c r="A294" s="24" t="n">
        <v>43200</v>
      </c>
      <c r="B294" s="32" t="s">
        <v>465</v>
      </c>
    </row>
    <row r="295" customFormat="false" ht="14.25" hidden="false" customHeight="false" outlineLevel="0" collapsed="false">
      <c r="A295" s="24" t="n">
        <v>43300</v>
      </c>
      <c r="B295" s="32" t="s">
        <v>466</v>
      </c>
    </row>
    <row r="296" customFormat="false" ht="14.25" hidden="false" customHeight="false" outlineLevel="0" collapsed="false">
      <c r="A296" s="24" t="n">
        <v>43800</v>
      </c>
      <c r="B296" s="32" t="s">
        <v>467</v>
      </c>
    </row>
    <row r="297" customFormat="false" ht="16.4" hidden="false" customHeight="false" outlineLevel="0" collapsed="false">
      <c r="A297" s="24" t="n">
        <v>43900</v>
      </c>
      <c r="B297" s="32" t="s">
        <v>468</v>
      </c>
    </row>
    <row r="298" customFormat="false" ht="14.25" hidden="false" customHeight="false" outlineLevel="0" collapsed="false">
      <c r="A298" s="24" t="n">
        <v>51100</v>
      </c>
      <c r="B298" s="32" t="s">
        <v>469</v>
      </c>
    </row>
    <row r="299" customFormat="false" ht="14.25" hidden="false" customHeight="false" outlineLevel="0" collapsed="false">
      <c r="A299" s="24" t="n">
        <v>51200</v>
      </c>
      <c r="B299" s="32" t="s">
        <v>470</v>
      </c>
    </row>
    <row r="300" customFormat="false" ht="14.25" hidden="false" customHeight="false" outlineLevel="0" collapsed="false">
      <c r="A300" s="24" t="n">
        <v>51300</v>
      </c>
      <c r="B300" s="32" t="s">
        <v>471</v>
      </c>
    </row>
    <row r="301" customFormat="false" ht="14.25" hidden="false" customHeight="false" outlineLevel="0" collapsed="false">
      <c r="A301" s="24" t="n">
        <v>51400</v>
      </c>
      <c r="B301" s="32" t="s">
        <v>472</v>
      </c>
    </row>
    <row r="302" customFormat="false" ht="14.25" hidden="false" customHeight="false" outlineLevel="0" collapsed="false">
      <c r="A302" s="24" t="n">
        <v>51900</v>
      </c>
      <c r="B302" s="32" t="s">
        <v>473</v>
      </c>
    </row>
    <row r="303" customFormat="false" ht="14.25" hidden="false" customHeight="false" outlineLevel="0" collapsed="false">
      <c r="A303" s="24" t="n">
        <v>52100</v>
      </c>
      <c r="B303" s="32" t="s">
        <v>474</v>
      </c>
    </row>
    <row r="304" customFormat="false" ht="14.25" hidden="false" customHeight="false" outlineLevel="0" collapsed="false">
      <c r="A304" s="24" t="n">
        <v>52200</v>
      </c>
      <c r="B304" s="32" t="s">
        <v>475</v>
      </c>
    </row>
    <row r="305" customFormat="false" ht="14.25" hidden="false" customHeight="false" outlineLevel="0" collapsed="false">
      <c r="A305" s="24" t="n">
        <v>52300</v>
      </c>
      <c r="B305" s="32" t="s">
        <v>476</v>
      </c>
    </row>
    <row r="306" customFormat="false" ht="14.25" hidden="false" customHeight="false" outlineLevel="0" collapsed="false">
      <c r="A306" s="24" t="n">
        <v>52400</v>
      </c>
      <c r="B306" s="32" t="s">
        <v>477</v>
      </c>
    </row>
    <row r="307" customFormat="false" ht="14.25" hidden="false" customHeight="false" outlineLevel="0" collapsed="false">
      <c r="A307" s="24" t="n">
        <v>52500</v>
      </c>
      <c r="B307" s="32" t="s">
        <v>478</v>
      </c>
    </row>
    <row r="308" customFormat="false" ht="16.4" hidden="false" customHeight="false" outlineLevel="0" collapsed="false">
      <c r="A308" s="24" t="n">
        <v>52600</v>
      </c>
      <c r="B308" s="32" t="s">
        <v>479</v>
      </c>
    </row>
    <row r="309" customFormat="false" ht="16.4" hidden="false" customHeight="false" outlineLevel="0" collapsed="false">
      <c r="A309" s="24" t="n">
        <v>52700</v>
      </c>
      <c r="B309" s="32" t="s">
        <v>480</v>
      </c>
    </row>
    <row r="310" customFormat="false" ht="14.25" hidden="false" customHeight="false" outlineLevel="0" collapsed="false">
      <c r="A310" s="24" t="n">
        <v>52800</v>
      </c>
      <c r="B310" s="32" t="s">
        <v>481</v>
      </c>
    </row>
    <row r="311" customFormat="false" ht="14.25" hidden="false" customHeight="false" outlineLevel="0" collapsed="false">
      <c r="A311" s="24" t="n">
        <v>52900</v>
      </c>
      <c r="B311" s="32" t="s">
        <v>482</v>
      </c>
    </row>
    <row r="312" customFormat="false" ht="14.25" hidden="false" customHeight="false" outlineLevel="0" collapsed="false">
      <c r="A312" s="24" t="n">
        <v>53000</v>
      </c>
      <c r="B312" s="32" t="s">
        <v>483</v>
      </c>
    </row>
    <row r="313" customFormat="false" ht="14.25" hidden="false" customHeight="false" outlineLevel="0" collapsed="false">
      <c r="A313" s="24" t="n">
        <v>53010</v>
      </c>
      <c r="B313" s="32" t="s">
        <v>484</v>
      </c>
    </row>
    <row r="314" customFormat="false" ht="16.4" hidden="false" customHeight="false" outlineLevel="0" collapsed="false">
      <c r="A314" s="24" t="n">
        <v>53100</v>
      </c>
      <c r="B314" s="33" t="s">
        <v>485</v>
      </c>
    </row>
    <row r="315" customFormat="false" ht="14.25" hidden="false" customHeight="false" outlineLevel="0" collapsed="false">
      <c r="A315" s="24" t="n">
        <v>53150</v>
      </c>
      <c r="B315" s="32" t="s">
        <v>486</v>
      </c>
    </row>
    <row r="316" customFormat="false" ht="14.25" hidden="false" customHeight="false" outlineLevel="0" collapsed="false">
      <c r="A316" s="24" t="n">
        <v>53200</v>
      </c>
      <c r="B316" s="32" t="s">
        <v>487</v>
      </c>
    </row>
    <row r="317" customFormat="false" ht="14.25" hidden="false" customHeight="false" outlineLevel="0" collapsed="false">
      <c r="A317" s="24" t="n">
        <v>53250</v>
      </c>
      <c r="B317" s="32" t="s">
        <v>488</v>
      </c>
    </row>
    <row r="318" customFormat="false" ht="14.25" hidden="false" customHeight="false" outlineLevel="0" collapsed="false">
      <c r="A318" s="24" t="n">
        <v>53300</v>
      </c>
      <c r="B318" s="32" t="s">
        <v>489</v>
      </c>
    </row>
    <row r="319" customFormat="false" ht="14.25" hidden="false" customHeight="false" outlineLevel="0" collapsed="false">
      <c r="A319" s="24" t="n">
        <v>53350</v>
      </c>
      <c r="B319" s="32" t="s">
        <v>490</v>
      </c>
    </row>
    <row r="320" customFormat="false" ht="14.25" hidden="false" customHeight="false" outlineLevel="0" collapsed="false">
      <c r="A320" s="24" t="n">
        <v>53400</v>
      </c>
      <c r="B320" s="32" t="s">
        <v>491</v>
      </c>
    </row>
    <row r="321" customFormat="false" ht="16.4" hidden="false" customHeight="false" outlineLevel="0" collapsed="false">
      <c r="A321" s="24" t="n">
        <v>53450</v>
      </c>
      <c r="B321" s="32" t="s">
        <v>492</v>
      </c>
    </row>
    <row r="322" customFormat="false" ht="14.25" hidden="false" customHeight="false" outlineLevel="0" collapsed="false">
      <c r="A322" s="24" t="n">
        <v>53460</v>
      </c>
      <c r="B322" s="32" t="s">
        <v>493</v>
      </c>
    </row>
    <row r="323" customFormat="false" ht="14.25" hidden="false" customHeight="false" outlineLevel="0" collapsed="false">
      <c r="A323" s="24" t="n">
        <v>53500</v>
      </c>
      <c r="B323" s="32" t="s">
        <v>494</v>
      </c>
    </row>
    <row r="324" customFormat="false" ht="14.25" hidden="false" customHeight="false" outlineLevel="0" collapsed="false">
      <c r="A324" s="24" t="n">
        <v>53550</v>
      </c>
      <c r="B324" s="32" t="s">
        <v>495</v>
      </c>
    </row>
    <row r="325" customFormat="false" ht="14.25" hidden="false" customHeight="false" outlineLevel="0" collapsed="false">
      <c r="A325" s="24" t="n">
        <v>53600</v>
      </c>
      <c r="B325" s="32" t="s">
        <v>496</v>
      </c>
    </row>
    <row r="326" customFormat="false" ht="14.25" hidden="false" customHeight="false" outlineLevel="0" collapsed="false">
      <c r="A326" s="24" t="n">
        <v>53650</v>
      </c>
      <c r="B326" s="32" t="s">
        <v>497</v>
      </c>
    </row>
    <row r="327" customFormat="false" ht="14.25" hidden="false" customHeight="false" outlineLevel="0" collapsed="false">
      <c r="A327" s="24" t="n">
        <v>53700</v>
      </c>
      <c r="B327" s="32" t="s">
        <v>498</v>
      </c>
    </row>
    <row r="328" customFormat="false" ht="14.25" hidden="false" customHeight="false" outlineLevel="0" collapsed="false">
      <c r="A328" s="24" t="n">
        <v>53900</v>
      </c>
      <c r="B328" s="32" t="s">
        <v>499</v>
      </c>
    </row>
    <row r="329" customFormat="false" ht="14.25" hidden="false" customHeight="false" outlineLevel="0" collapsed="false">
      <c r="A329" s="24" t="n">
        <v>54200</v>
      </c>
      <c r="B329" s="32" t="s">
        <v>500</v>
      </c>
    </row>
    <row r="330" customFormat="false" ht="14.25" hidden="false" customHeight="false" outlineLevel="0" collapsed="false">
      <c r="A330" s="24" t="n">
        <v>54300</v>
      </c>
      <c r="B330" s="32" t="s">
        <v>501</v>
      </c>
    </row>
    <row r="331" customFormat="false" ht="14.25" hidden="false" customHeight="false" outlineLevel="0" collapsed="false">
      <c r="A331" s="24" t="n">
        <v>54400</v>
      </c>
      <c r="B331" s="32" t="s">
        <v>502</v>
      </c>
    </row>
    <row r="332" customFormat="false" ht="14.25" hidden="false" customHeight="false" outlineLevel="0" collapsed="false">
      <c r="A332" s="24" t="n">
        <v>54500</v>
      </c>
      <c r="B332" s="32" t="s">
        <v>503</v>
      </c>
    </row>
    <row r="333" customFormat="false" ht="14.25" hidden="false" customHeight="false" outlineLevel="0" collapsed="false">
      <c r="A333" s="24" t="n">
        <v>54600</v>
      </c>
      <c r="B333" s="32" t="s">
        <v>504</v>
      </c>
    </row>
    <row r="334" customFormat="false" ht="14.25" hidden="false" customHeight="false" outlineLevel="0" collapsed="false">
      <c r="A334" s="24" t="n">
        <v>54900</v>
      </c>
      <c r="B334" s="32" t="s">
        <v>505</v>
      </c>
    </row>
    <row r="335" customFormat="false" ht="14.25" hidden="false" customHeight="false" outlineLevel="0" collapsed="false">
      <c r="A335" s="24" t="n">
        <v>60000</v>
      </c>
      <c r="B335" s="32" t="s">
        <v>506</v>
      </c>
    </row>
    <row r="336" customFormat="false" ht="14.25" hidden="false" customHeight="false" outlineLevel="0" collapsed="false">
      <c r="A336" s="24" t="n">
        <v>60100</v>
      </c>
      <c r="B336" s="32" t="s">
        <v>507</v>
      </c>
    </row>
    <row r="337" customFormat="false" ht="14.25" hidden="false" customHeight="false" outlineLevel="0" collapsed="false">
      <c r="A337" s="24" t="n">
        <v>60200</v>
      </c>
      <c r="B337" s="32" t="s">
        <v>508</v>
      </c>
    </row>
    <row r="338" customFormat="false" ht="14.25" hidden="false" customHeight="false" outlineLevel="0" collapsed="false">
      <c r="A338" s="24" t="n">
        <v>60300</v>
      </c>
      <c r="B338" s="32" t="s">
        <v>509</v>
      </c>
    </row>
    <row r="339" customFormat="false" ht="14.25" hidden="false" customHeight="false" outlineLevel="0" collapsed="false">
      <c r="A339" s="24" t="n">
        <v>60400</v>
      </c>
      <c r="B339" s="32" t="s">
        <v>510</v>
      </c>
    </row>
    <row r="340" customFormat="false" ht="14.25" hidden="false" customHeight="false" outlineLevel="0" collapsed="false">
      <c r="A340" s="24" t="n">
        <v>60410</v>
      </c>
      <c r="B340" s="32" t="s">
        <v>511</v>
      </c>
    </row>
    <row r="341" customFormat="false" ht="14.25" hidden="false" customHeight="false" outlineLevel="0" collapsed="false">
      <c r="A341" s="24" t="n">
        <v>60500</v>
      </c>
      <c r="B341" s="32" t="s">
        <v>512</v>
      </c>
    </row>
    <row r="342" customFormat="false" ht="14.25" hidden="false" customHeight="false" outlineLevel="0" collapsed="false">
      <c r="A342" s="24" t="n">
        <v>60600</v>
      </c>
      <c r="B342" s="32" t="s">
        <v>513</v>
      </c>
    </row>
    <row r="343" customFormat="false" ht="14.25" hidden="false" customHeight="false" outlineLevel="0" collapsed="false">
      <c r="A343" s="24" t="n">
        <v>60601</v>
      </c>
      <c r="B343" s="32" t="s">
        <v>514</v>
      </c>
    </row>
    <row r="344" customFormat="false" ht="14.25" hidden="false" customHeight="false" outlineLevel="0" collapsed="false">
      <c r="A344" s="24" t="n">
        <v>60602</v>
      </c>
      <c r="B344" s="32" t="s">
        <v>515</v>
      </c>
    </row>
    <row r="345" customFormat="false" ht="14.25" hidden="false" customHeight="false" outlineLevel="0" collapsed="false">
      <c r="A345" s="24" t="n">
        <v>60603</v>
      </c>
      <c r="B345" s="32" t="s">
        <v>516</v>
      </c>
    </row>
    <row r="346" customFormat="false" ht="14.25" hidden="false" customHeight="false" outlineLevel="0" collapsed="false">
      <c r="A346" s="24" t="n">
        <v>60604</v>
      </c>
      <c r="B346" s="32" t="s">
        <v>517</v>
      </c>
    </row>
    <row r="347" customFormat="false" ht="14.25" hidden="false" customHeight="false" outlineLevel="0" collapsed="false">
      <c r="A347" s="24" t="n">
        <v>60605</v>
      </c>
      <c r="B347" s="32" t="s">
        <v>518</v>
      </c>
    </row>
    <row r="348" customFormat="false" ht="14.25" hidden="false" customHeight="false" outlineLevel="0" collapsed="false">
      <c r="A348" s="24" t="n">
        <v>60606</v>
      </c>
      <c r="B348" s="32" t="s">
        <v>519</v>
      </c>
    </row>
    <row r="349" customFormat="false" ht="14.25" hidden="false" customHeight="false" outlineLevel="0" collapsed="false">
      <c r="A349" s="24" t="n">
        <v>60607</v>
      </c>
      <c r="B349" s="32" t="s">
        <v>520</v>
      </c>
    </row>
    <row r="350" customFormat="false" ht="14.25" hidden="false" customHeight="false" outlineLevel="0" collapsed="false">
      <c r="A350" s="24" t="n">
        <v>60608</v>
      </c>
      <c r="B350" s="32" t="s">
        <v>521</v>
      </c>
    </row>
    <row r="351" customFormat="false" ht="14.25" hidden="false" customHeight="false" outlineLevel="0" collapsed="false">
      <c r="A351" s="24" t="n">
        <v>60700</v>
      </c>
      <c r="B351" s="32" t="s">
        <v>522</v>
      </c>
    </row>
    <row r="352" customFormat="false" ht="14.25" hidden="false" customHeight="false" outlineLevel="0" collapsed="false">
      <c r="A352" s="24" t="n">
        <v>60800</v>
      </c>
      <c r="B352" s="32" t="s">
        <v>523</v>
      </c>
    </row>
    <row r="353" customFormat="false" ht="14.25" hidden="false" customHeight="false" outlineLevel="0" collapsed="false">
      <c r="A353" s="24" t="n">
        <v>60900</v>
      </c>
      <c r="B353" s="32" t="s">
        <v>524</v>
      </c>
    </row>
    <row r="354" customFormat="false" ht="14.25" hidden="false" customHeight="false" outlineLevel="0" collapsed="false">
      <c r="A354" s="24" t="n">
        <v>61000</v>
      </c>
      <c r="B354" s="32" t="s">
        <v>525</v>
      </c>
    </row>
    <row r="355" customFormat="false" ht="16.4" hidden="false" customHeight="false" outlineLevel="0" collapsed="false">
      <c r="A355" s="24" t="n">
        <v>61100</v>
      </c>
      <c r="B355" s="32" t="s">
        <v>526</v>
      </c>
    </row>
    <row r="356" customFormat="false" ht="14.25" hidden="false" customHeight="false" outlineLevel="0" collapsed="false">
      <c r="A356" s="24" t="n">
        <v>61120</v>
      </c>
      <c r="B356" s="32" t="s">
        <v>527</v>
      </c>
    </row>
    <row r="357" customFormat="false" ht="14.25" hidden="false" customHeight="false" outlineLevel="0" collapsed="false">
      <c r="A357" s="24" t="n">
        <v>61140</v>
      </c>
      <c r="B357" s="32" t="s">
        <v>528</v>
      </c>
    </row>
    <row r="358" customFormat="false" ht="14.25" hidden="false" customHeight="false" outlineLevel="0" collapsed="false">
      <c r="A358" s="24" t="n">
        <v>61160</v>
      </c>
      <c r="B358" s="32" t="s">
        <v>529</v>
      </c>
    </row>
    <row r="359" customFormat="false" ht="14.25" hidden="false" customHeight="false" outlineLevel="0" collapsed="false">
      <c r="A359" s="24" t="n">
        <v>61180</v>
      </c>
      <c r="B359" s="32" t="s">
        <v>530</v>
      </c>
    </row>
    <row r="360" customFormat="false" ht="14.25" hidden="false" customHeight="false" outlineLevel="0" collapsed="false">
      <c r="A360" s="24" t="n">
        <v>61200</v>
      </c>
      <c r="B360" s="32" t="s">
        <v>531</v>
      </c>
    </row>
    <row r="361" customFormat="false" ht="14.25" hidden="false" customHeight="false" outlineLevel="0" collapsed="false">
      <c r="A361" s="24" t="n">
        <v>61220</v>
      </c>
      <c r="B361" s="32" t="s">
        <v>532</v>
      </c>
    </row>
    <row r="362" customFormat="false" ht="14.25" hidden="false" customHeight="false" outlineLevel="0" collapsed="false">
      <c r="A362" s="24" t="n">
        <v>61240</v>
      </c>
      <c r="B362" s="32" t="s">
        <v>533</v>
      </c>
    </row>
    <row r="363" customFormat="false" ht="14.25" hidden="false" customHeight="false" outlineLevel="0" collapsed="false">
      <c r="A363" s="24" t="n">
        <v>61260</v>
      </c>
      <c r="B363" s="32" t="s">
        <v>534</v>
      </c>
    </row>
    <row r="364" customFormat="false" ht="14.25" hidden="false" customHeight="false" outlineLevel="0" collapsed="false">
      <c r="A364" s="24" t="n">
        <v>61280</v>
      </c>
      <c r="B364" s="32" t="s">
        <v>535</v>
      </c>
    </row>
    <row r="365" customFormat="false" ht="14.25" hidden="false" customHeight="false" outlineLevel="0" collapsed="false">
      <c r="A365" s="24" t="n">
        <v>61300</v>
      </c>
      <c r="B365" s="32" t="s">
        <v>536</v>
      </c>
    </row>
    <row r="366" customFormat="false" ht="14.25" hidden="false" customHeight="false" outlineLevel="0" collapsed="false">
      <c r="A366" s="24" t="n">
        <v>61320</v>
      </c>
      <c r="B366" s="32" t="s">
        <v>537</v>
      </c>
    </row>
    <row r="367" customFormat="false" ht="14.25" hidden="false" customHeight="false" outlineLevel="0" collapsed="false">
      <c r="A367" s="24" t="n">
        <v>61340</v>
      </c>
      <c r="B367" s="32" t="s">
        <v>538</v>
      </c>
    </row>
    <row r="368" customFormat="false" ht="14.25" hidden="false" customHeight="false" outlineLevel="0" collapsed="false">
      <c r="A368" s="24" t="n">
        <v>61360</v>
      </c>
      <c r="B368" s="32" t="s">
        <v>539</v>
      </c>
    </row>
    <row r="369" customFormat="false" ht="14.25" hidden="false" customHeight="false" outlineLevel="0" collapsed="false">
      <c r="A369" s="24" t="n">
        <v>61380</v>
      </c>
      <c r="B369" s="32" t="s">
        <v>540</v>
      </c>
    </row>
    <row r="370" customFormat="false" ht="14.25" hidden="false" customHeight="false" outlineLevel="0" collapsed="false">
      <c r="A370" s="24" t="n">
        <v>61400</v>
      </c>
      <c r="B370" s="32" t="s">
        <v>541</v>
      </c>
    </row>
    <row r="371" customFormat="false" ht="14.25" hidden="false" customHeight="false" outlineLevel="0" collapsed="false">
      <c r="A371" s="24" t="n">
        <v>61420</v>
      </c>
      <c r="B371" s="32" t="s">
        <v>542</v>
      </c>
    </row>
    <row r="372" customFormat="false" ht="14.25" hidden="false" customHeight="false" outlineLevel="0" collapsed="false">
      <c r="A372" s="24" t="n">
        <v>61440</v>
      </c>
      <c r="B372" s="32" t="s">
        <v>543</v>
      </c>
    </row>
    <row r="373" customFormat="false" ht="14.25" hidden="false" customHeight="false" outlineLevel="0" collapsed="false">
      <c r="A373" s="24" t="n">
        <v>61450</v>
      </c>
      <c r="B373" s="32" t="s">
        <v>544</v>
      </c>
    </row>
    <row r="374" customFormat="false" ht="14.25" hidden="false" customHeight="false" outlineLevel="0" collapsed="false">
      <c r="A374" s="24" t="n">
        <v>61460</v>
      </c>
      <c r="B374" s="32" t="s">
        <v>545</v>
      </c>
    </row>
    <row r="375" customFormat="false" ht="14.25" hidden="false" customHeight="false" outlineLevel="0" collapsed="false">
      <c r="A375" s="24" t="n">
        <v>61480</v>
      </c>
      <c r="B375" s="32" t="s">
        <v>546</v>
      </c>
    </row>
    <row r="376" customFormat="false" ht="14.25" hidden="false" customHeight="false" outlineLevel="0" collapsed="false">
      <c r="A376" s="24" t="n">
        <v>61500</v>
      </c>
      <c r="B376" s="32" t="s">
        <v>547</v>
      </c>
    </row>
    <row r="377" customFormat="false" ht="14.25" hidden="false" customHeight="false" outlineLevel="0" collapsed="false">
      <c r="A377" s="24" t="n">
        <v>61520</v>
      </c>
      <c r="B377" s="32" t="s">
        <v>548</v>
      </c>
    </row>
    <row r="378" customFormat="false" ht="14.25" hidden="false" customHeight="false" outlineLevel="0" collapsed="false">
      <c r="A378" s="24" t="n">
        <v>61540</v>
      </c>
      <c r="B378" s="32" t="s">
        <v>549</v>
      </c>
    </row>
    <row r="379" customFormat="false" ht="14.25" hidden="false" customHeight="false" outlineLevel="0" collapsed="false">
      <c r="A379" s="24" t="n">
        <v>61560</v>
      </c>
      <c r="B379" s="32" t="s">
        <v>550</v>
      </c>
    </row>
    <row r="380" customFormat="false" ht="14.25" hidden="false" customHeight="false" outlineLevel="0" collapsed="false">
      <c r="A380" s="24" t="n">
        <v>61580</v>
      </c>
      <c r="B380" s="32" t="s">
        <v>551</v>
      </c>
    </row>
    <row r="381" customFormat="false" ht="14.25" hidden="false" customHeight="false" outlineLevel="0" collapsed="false">
      <c r="A381" s="24" t="n">
        <v>61600</v>
      </c>
      <c r="B381" s="32" t="s">
        <v>552</v>
      </c>
    </row>
    <row r="382" customFormat="false" ht="14.25" hidden="false" customHeight="false" outlineLevel="0" collapsed="false">
      <c r="A382" s="24" t="n">
        <v>61620</v>
      </c>
      <c r="B382" s="32" t="s">
        <v>553</v>
      </c>
    </row>
    <row r="383" customFormat="false" ht="14.25" hidden="false" customHeight="false" outlineLevel="0" collapsed="false">
      <c r="A383" s="24" t="n">
        <v>61640</v>
      </c>
      <c r="B383" s="32" t="s">
        <v>554</v>
      </c>
    </row>
    <row r="384" customFormat="false" ht="14.25" hidden="false" customHeight="false" outlineLevel="0" collapsed="false">
      <c r="A384" s="24" t="n">
        <v>61660</v>
      </c>
      <c r="B384" s="32" t="s">
        <v>555</v>
      </c>
    </row>
    <row r="385" customFormat="false" ht="14.25" hidden="false" customHeight="false" outlineLevel="0" collapsed="false">
      <c r="A385" s="24" t="n">
        <v>61680</v>
      </c>
      <c r="B385" s="32" t="s">
        <v>556</v>
      </c>
    </row>
    <row r="386" customFormat="false" ht="14.25" hidden="false" customHeight="false" outlineLevel="0" collapsed="false">
      <c r="A386" s="24" t="n">
        <v>61690</v>
      </c>
      <c r="B386" s="32" t="s">
        <v>557</v>
      </c>
    </row>
    <row r="387" customFormat="false" ht="14.25" hidden="false" customHeight="false" outlineLevel="0" collapsed="false">
      <c r="A387" s="24" t="n">
        <v>61700</v>
      </c>
      <c r="B387" s="32" t="s">
        <v>558</v>
      </c>
    </row>
    <row r="388" customFormat="false" ht="14.25" hidden="false" customHeight="false" outlineLevel="0" collapsed="false">
      <c r="A388" s="24" t="n">
        <v>61720</v>
      </c>
      <c r="B388" s="32" t="s">
        <v>559</v>
      </c>
    </row>
    <row r="389" customFormat="false" ht="14.25" hidden="false" customHeight="false" outlineLevel="0" collapsed="false">
      <c r="A389" s="24" t="n">
        <v>61900</v>
      </c>
      <c r="B389" s="32" t="s">
        <v>560</v>
      </c>
    </row>
    <row r="390" customFormat="false" ht="14.25" hidden="false" customHeight="false" outlineLevel="0" collapsed="false">
      <c r="A390" s="24" t="n">
        <v>62100</v>
      </c>
      <c r="B390" s="32" t="s">
        <v>561</v>
      </c>
    </row>
    <row r="391" customFormat="false" ht="14.25" hidden="false" customHeight="false" outlineLevel="0" collapsed="false">
      <c r="A391" s="24" t="n">
        <v>62101</v>
      </c>
      <c r="B391" s="32" t="s">
        <v>562</v>
      </c>
    </row>
    <row r="392" customFormat="false" ht="14.25" hidden="false" customHeight="false" outlineLevel="0" collapsed="false">
      <c r="A392" s="24" t="n">
        <v>62102</v>
      </c>
      <c r="B392" s="32" t="s">
        <v>563</v>
      </c>
    </row>
    <row r="393" customFormat="false" ht="14.25" hidden="false" customHeight="false" outlineLevel="0" collapsed="false">
      <c r="A393" s="24" t="n">
        <v>62103</v>
      </c>
      <c r="B393" s="32" t="s">
        <v>564</v>
      </c>
    </row>
    <row r="394" customFormat="false" ht="14.25" hidden="false" customHeight="false" outlineLevel="0" collapsed="false">
      <c r="A394" s="24" t="n">
        <v>62104</v>
      </c>
      <c r="B394" s="32" t="s">
        <v>565</v>
      </c>
    </row>
    <row r="395" customFormat="false" ht="14.25" hidden="false" customHeight="false" outlineLevel="0" collapsed="false">
      <c r="A395" s="24" t="n">
        <v>62105</v>
      </c>
      <c r="B395" s="32" t="s">
        <v>566</v>
      </c>
    </row>
    <row r="396" customFormat="false" ht="14.25" hidden="false" customHeight="false" outlineLevel="0" collapsed="false">
      <c r="A396" s="24" t="n">
        <v>62106</v>
      </c>
      <c r="B396" s="32" t="s">
        <v>567</v>
      </c>
    </row>
    <row r="397" customFormat="false" ht="14.25" hidden="false" customHeight="false" outlineLevel="0" collapsed="false">
      <c r="A397" s="24" t="n">
        <v>62107</v>
      </c>
      <c r="B397" s="32" t="s">
        <v>568</v>
      </c>
    </row>
    <row r="398" customFormat="false" ht="14.25" hidden="false" customHeight="false" outlineLevel="0" collapsed="false">
      <c r="A398" s="24" t="n">
        <v>62108</v>
      </c>
      <c r="B398" s="32" t="s">
        <v>569</v>
      </c>
    </row>
    <row r="399" customFormat="false" ht="14.25" hidden="false" customHeight="false" outlineLevel="0" collapsed="false">
      <c r="A399" s="24" t="n">
        <v>62109</v>
      </c>
      <c r="B399" s="32" t="s">
        <v>570</v>
      </c>
    </row>
    <row r="400" customFormat="false" ht="14.25" hidden="false" customHeight="false" outlineLevel="0" collapsed="false">
      <c r="A400" s="24" t="n">
        <v>62110</v>
      </c>
      <c r="B400" s="32" t="s">
        <v>571</v>
      </c>
    </row>
    <row r="401" customFormat="false" ht="14.25" hidden="false" customHeight="false" outlineLevel="0" collapsed="false">
      <c r="A401" s="24" t="n">
        <v>62120</v>
      </c>
      <c r="B401" s="32" t="s">
        <v>572</v>
      </c>
    </row>
    <row r="402" customFormat="false" ht="14.25" hidden="false" customHeight="false" outlineLevel="0" collapsed="false">
      <c r="A402" s="24" t="n">
        <v>62130</v>
      </c>
      <c r="B402" s="32" t="s">
        <v>573</v>
      </c>
    </row>
    <row r="403" customFormat="false" ht="14.25" hidden="false" customHeight="false" outlineLevel="0" collapsed="false">
      <c r="A403" s="24" t="n">
        <v>62140</v>
      </c>
      <c r="B403" s="32" t="s">
        <v>574</v>
      </c>
    </row>
    <row r="404" customFormat="false" ht="14.25" hidden="false" customHeight="false" outlineLevel="0" collapsed="false">
      <c r="A404" s="24" t="n">
        <v>62150</v>
      </c>
      <c r="B404" s="32" t="s">
        <v>575</v>
      </c>
    </row>
    <row r="405" customFormat="false" ht="14.25" hidden="false" customHeight="false" outlineLevel="0" collapsed="false">
      <c r="A405" s="24" t="n">
        <v>62160</v>
      </c>
      <c r="B405" s="32" t="s">
        <v>576</v>
      </c>
    </row>
    <row r="406" customFormat="false" ht="14.25" hidden="false" customHeight="false" outlineLevel="0" collapsed="false">
      <c r="A406" s="24" t="n">
        <v>62170</v>
      </c>
      <c r="B406" s="32" t="s">
        <v>577</v>
      </c>
    </row>
    <row r="407" customFormat="false" ht="14.25" hidden="false" customHeight="false" outlineLevel="0" collapsed="false">
      <c r="A407" s="24" t="n">
        <v>62180</v>
      </c>
      <c r="B407" s="32" t="s">
        <v>578</v>
      </c>
    </row>
    <row r="408" customFormat="false" ht="14.25" hidden="false" customHeight="false" outlineLevel="0" collapsed="false">
      <c r="A408" s="24" t="n">
        <v>62190</v>
      </c>
      <c r="B408" s="32" t="s">
        <v>579</v>
      </c>
    </row>
    <row r="409" customFormat="false" ht="14.25" hidden="false" customHeight="false" outlineLevel="0" collapsed="false">
      <c r="A409" s="24" t="n">
        <v>62200</v>
      </c>
      <c r="B409" s="32" t="s">
        <v>580</v>
      </c>
    </row>
    <row r="410" customFormat="false" ht="14.25" hidden="false" customHeight="false" outlineLevel="0" collapsed="false">
      <c r="A410" s="24" t="n">
        <v>62210</v>
      </c>
      <c r="B410" s="32" t="s">
        <v>581</v>
      </c>
    </row>
    <row r="411" customFormat="false" ht="14.25" hidden="false" customHeight="false" outlineLevel="0" collapsed="false">
      <c r="A411" s="24" t="n">
        <v>62220</v>
      </c>
      <c r="B411" s="32" t="s">
        <v>582</v>
      </c>
    </row>
    <row r="412" customFormat="false" ht="14.25" hidden="false" customHeight="false" outlineLevel="0" collapsed="false">
      <c r="A412" s="24" t="n">
        <v>62300</v>
      </c>
      <c r="B412" s="32" t="s">
        <v>583</v>
      </c>
    </row>
    <row r="413" customFormat="false" ht="14.25" hidden="false" customHeight="false" outlineLevel="0" collapsed="false">
      <c r="A413" s="24" t="n">
        <v>62310</v>
      </c>
      <c r="B413" s="32" t="s">
        <v>584</v>
      </c>
    </row>
    <row r="414" customFormat="false" ht="16.4" hidden="false" customHeight="false" outlineLevel="0" collapsed="false">
      <c r="A414" s="24" t="n">
        <v>62400</v>
      </c>
      <c r="B414" s="32" t="s">
        <v>585</v>
      </c>
    </row>
    <row r="415" customFormat="false" ht="14.25" hidden="false" customHeight="false" outlineLevel="0" collapsed="false">
      <c r="A415" s="24" t="n">
        <v>62500</v>
      </c>
      <c r="B415" s="32" t="s">
        <v>586</v>
      </c>
    </row>
    <row r="416" customFormat="false" ht="16.4" hidden="false" customHeight="false" outlineLevel="0" collapsed="false">
      <c r="A416" s="24" t="n">
        <v>62900</v>
      </c>
      <c r="B416" s="32" t="s">
        <v>587</v>
      </c>
    </row>
    <row r="417" customFormat="false" ht="16.4" hidden="false" customHeight="false" outlineLevel="0" collapsed="false">
      <c r="A417" s="24" t="n">
        <v>63100</v>
      </c>
      <c r="B417" s="32" t="s">
        <v>588</v>
      </c>
    </row>
    <row r="418" customFormat="false" ht="14.25" hidden="false" customHeight="false" outlineLevel="0" collapsed="false">
      <c r="A418" s="24" t="n">
        <v>63200</v>
      </c>
      <c r="B418" s="32" t="s">
        <v>589</v>
      </c>
    </row>
    <row r="419" customFormat="false" ht="14.25" hidden="false" customHeight="false" outlineLevel="0" collapsed="false">
      <c r="A419" s="24" t="n">
        <v>63300</v>
      </c>
      <c r="B419" s="32" t="s">
        <v>590</v>
      </c>
    </row>
    <row r="420" customFormat="false" ht="14.25" hidden="false" customHeight="false" outlineLevel="0" collapsed="false">
      <c r="A420" s="24" t="n">
        <v>63400</v>
      </c>
      <c r="B420" s="32" t="s">
        <v>591</v>
      </c>
    </row>
    <row r="421" customFormat="false" ht="14.25" hidden="false" customHeight="false" outlineLevel="0" collapsed="false">
      <c r="A421" s="24" t="n">
        <v>63500</v>
      </c>
      <c r="B421" s="32" t="s">
        <v>592</v>
      </c>
    </row>
    <row r="422" customFormat="false" ht="16.4" hidden="false" customHeight="false" outlineLevel="0" collapsed="false">
      <c r="A422" s="24" t="n">
        <v>63900</v>
      </c>
      <c r="B422" s="32" t="s">
        <v>593</v>
      </c>
    </row>
    <row r="423" customFormat="false" ht="16.4" hidden="false" customHeight="false" outlineLevel="0" collapsed="false">
      <c r="A423" s="24" t="n">
        <v>64100</v>
      </c>
      <c r="B423" s="32" t="s">
        <v>594</v>
      </c>
    </row>
    <row r="424" customFormat="false" ht="16.4" hidden="false" customHeight="false" outlineLevel="0" collapsed="false">
      <c r="A424" s="24" t="n">
        <v>65100</v>
      </c>
      <c r="B424" s="32" t="s">
        <v>595</v>
      </c>
    </row>
    <row r="425" customFormat="false" ht="14.25" hidden="false" customHeight="false" outlineLevel="0" collapsed="false">
      <c r="A425" s="24" t="n">
        <v>65200</v>
      </c>
      <c r="B425" s="32" t="s">
        <v>596</v>
      </c>
    </row>
    <row r="426" customFormat="false" ht="14.25" hidden="false" customHeight="false" outlineLevel="0" collapsed="false">
      <c r="A426" s="24" t="n">
        <v>65300</v>
      </c>
      <c r="B426" s="32" t="s">
        <v>597</v>
      </c>
    </row>
    <row r="427" customFormat="false" ht="14.25" hidden="false" customHeight="false" outlineLevel="0" collapsed="false">
      <c r="A427" s="24" t="n">
        <v>65400</v>
      </c>
      <c r="B427" s="32" t="s">
        <v>598</v>
      </c>
    </row>
    <row r="428" customFormat="false" ht="14.25" hidden="false" customHeight="false" outlineLevel="0" collapsed="false">
      <c r="A428" s="24" t="n">
        <v>65410</v>
      </c>
      <c r="B428" s="32" t="s">
        <v>599</v>
      </c>
    </row>
    <row r="429" customFormat="false" ht="14.25" hidden="false" customHeight="false" outlineLevel="0" collapsed="false">
      <c r="A429" s="24" t="n">
        <v>65500</v>
      </c>
      <c r="B429" s="32" t="s">
        <v>600</v>
      </c>
    </row>
    <row r="430" customFormat="false" ht="16.4" hidden="false" customHeight="false" outlineLevel="0" collapsed="false">
      <c r="A430" s="24" t="n">
        <v>65900</v>
      </c>
      <c r="B430" s="32" t="s">
        <v>601</v>
      </c>
    </row>
    <row r="431" customFormat="false" ht="14.25" hidden="false" customHeight="false" outlineLevel="0" collapsed="false">
      <c r="A431" s="24" t="n">
        <v>66100</v>
      </c>
      <c r="B431" s="32" t="s">
        <v>602</v>
      </c>
    </row>
    <row r="432" customFormat="false" ht="14.25" hidden="false" customHeight="false" outlineLevel="0" collapsed="false">
      <c r="A432" s="24" t="n">
        <v>67200</v>
      </c>
      <c r="B432" s="32" t="s">
        <v>603</v>
      </c>
    </row>
    <row r="433" customFormat="false" ht="14.25" hidden="false" customHeight="false" outlineLevel="0" collapsed="false">
      <c r="A433" s="24" t="n">
        <v>67400</v>
      </c>
      <c r="B433" s="32" t="s">
        <v>604</v>
      </c>
    </row>
    <row r="434" customFormat="false" ht="14.25" hidden="false" customHeight="false" outlineLevel="0" collapsed="false">
      <c r="A434" s="24" t="n">
        <v>67500</v>
      </c>
      <c r="B434" s="32" t="s">
        <v>605</v>
      </c>
    </row>
    <row r="435" customFormat="false" ht="14.25" hidden="false" customHeight="false" outlineLevel="0" collapsed="false">
      <c r="A435" s="24" t="n">
        <v>68000</v>
      </c>
      <c r="B435" s="32" t="s">
        <v>606</v>
      </c>
    </row>
    <row r="436" customFormat="false" ht="14.25" hidden="false" customHeight="false" outlineLevel="0" collapsed="false">
      <c r="A436" s="24" t="n">
        <v>68100</v>
      </c>
      <c r="B436" s="32" t="s">
        <v>607</v>
      </c>
    </row>
    <row r="437" customFormat="false" ht="14.25" hidden="false" customHeight="false" outlineLevel="0" collapsed="false">
      <c r="A437" s="24" t="n">
        <v>68200</v>
      </c>
      <c r="B437" s="32" t="s">
        <v>608</v>
      </c>
    </row>
    <row r="438" customFormat="false" ht="14.25" hidden="false" customHeight="false" outlineLevel="0" collapsed="false">
      <c r="A438" s="24" t="n">
        <v>68300</v>
      </c>
      <c r="B438" s="32" t="s">
        <v>609</v>
      </c>
    </row>
    <row r="439" customFormat="false" ht="14.25" hidden="false" customHeight="false" outlineLevel="0" collapsed="false">
      <c r="A439" s="24" t="n">
        <v>69000</v>
      </c>
      <c r="B439" s="32" t="s">
        <v>610</v>
      </c>
    </row>
    <row r="440" customFormat="false" ht="16.4" hidden="false" customHeight="false" outlineLevel="0" collapsed="false">
      <c r="A440" s="24" t="n">
        <v>69100</v>
      </c>
      <c r="B440" s="32" t="s">
        <v>611</v>
      </c>
    </row>
    <row r="441" customFormat="false" ht="14.25" hidden="false" customHeight="false" outlineLevel="0" collapsed="false">
      <c r="A441" s="24" t="n">
        <v>69200</v>
      </c>
      <c r="B441" s="32" t="s">
        <v>612</v>
      </c>
    </row>
    <row r="442" customFormat="false" ht="14.25" hidden="false" customHeight="false" outlineLevel="0" collapsed="false">
      <c r="A442" s="24" t="n">
        <v>69300</v>
      </c>
      <c r="B442" s="32" t="s">
        <v>613</v>
      </c>
    </row>
    <row r="443" customFormat="false" ht="14.25" hidden="false" customHeight="false" outlineLevel="0" collapsed="false">
      <c r="A443" s="24" t="n">
        <v>69900</v>
      </c>
      <c r="B443" s="32" t="s">
        <v>614</v>
      </c>
    </row>
    <row r="444" customFormat="false" ht="14.25" hidden="false" customHeight="false" outlineLevel="0" collapsed="false">
      <c r="A444" s="24" t="n">
        <v>71000</v>
      </c>
      <c r="B444" s="32" t="s">
        <v>615</v>
      </c>
    </row>
    <row r="445" customFormat="false" ht="14.25" hidden="false" customHeight="false" outlineLevel="0" collapsed="false">
      <c r="A445" s="24" t="n">
        <v>71010</v>
      </c>
      <c r="B445" s="32" t="s">
        <v>616</v>
      </c>
    </row>
    <row r="446" customFormat="false" ht="14.25" hidden="false" customHeight="false" outlineLevel="0" collapsed="false">
      <c r="A446" s="24" t="n">
        <v>71020</v>
      </c>
      <c r="B446" s="32" t="s">
        <v>617</v>
      </c>
    </row>
    <row r="447" customFormat="false" ht="16.4" hidden="false" customHeight="false" outlineLevel="0" collapsed="false">
      <c r="A447" s="24" t="n">
        <v>71100</v>
      </c>
      <c r="B447" s="32" t="s">
        <v>618</v>
      </c>
    </row>
    <row r="448" customFormat="false" ht="14.25" hidden="false" customHeight="false" outlineLevel="0" collapsed="false">
      <c r="A448" s="24" t="n">
        <v>71200</v>
      </c>
      <c r="B448" s="32" t="s">
        <v>619</v>
      </c>
    </row>
    <row r="449" customFormat="false" ht="14.25" hidden="false" customHeight="false" outlineLevel="0" collapsed="false">
      <c r="A449" s="24" t="n">
        <v>71300</v>
      </c>
      <c r="B449" s="32" t="s">
        <v>620</v>
      </c>
    </row>
    <row r="450" customFormat="false" ht="16.4" hidden="false" customHeight="false" outlineLevel="0" collapsed="false">
      <c r="A450" s="24" t="n">
        <v>71310</v>
      </c>
      <c r="B450" s="32" t="s">
        <v>621</v>
      </c>
    </row>
    <row r="451" customFormat="false" ht="14.25" hidden="false" customHeight="false" outlineLevel="0" collapsed="false">
      <c r="A451" s="24" t="n">
        <v>71400</v>
      </c>
      <c r="B451" s="32" t="s">
        <v>622</v>
      </c>
    </row>
    <row r="452" customFormat="false" ht="14.25" hidden="false" customHeight="false" outlineLevel="0" collapsed="false">
      <c r="A452" s="24" t="n">
        <v>71500</v>
      </c>
      <c r="B452" s="32" t="s">
        <v>623</v>
      </c>
    </row>
    <row r="453" customFormat="false" ht="14.25" hidden="false" customHeight="false" outlineLevel="0" collapsed="false">
      <c r="A453" s="24" t="n">
        <v>71600</v>
      </c>
      <c r="B453" s="32" t="s">
        <v>624</v>
      </c>
    </row>
    <row r="454" customFormat="false" ht="16.4" hidden="false" customHeight="false" outlineLevel="0" collapsed="false">
      <c r="A454" s="24" t="n">
        <v>71900</v>
      </c>
      <c r="B454" s="32" t="s">
        <v>625</v>
      </c>
    </row>
    <row r="455" customFormat="false" ht="14.25" hidden="false" customHeight="false" outlineLevel="0" collapsed="false">
      <c r="A455" s="24" t="n">
        <v>72200</v>
      </c>
      <c r="B455" s="32" t="s">
        <v>626</v>
      </c>
    </row>
    <row r="456" customFormat="false" ht="14.25" hidden="false" customHeight="false" outlineLevel="0" collapsed="false">
      <c r="A456" s="24" t="n">
        <v>72300</v>
      </c>
      <c r="B456" s="32" t="s">
        <v>627</v>
      </c>
    </row>
    <row r="457" customFormat="false" ht="14.25" hidden="false" customHeight="false" outlineLevel="0" collapsed="false">
      <c r="A457" s="24" t="n">
        <v>72400</v>
      </c>
      <c r="B457" s="32" t="s">
        <v>628</v>
      </c>
    </row>
    <row r="458" customFormat="false" ht="16.4" hidden="false" customHeight="false" outlineLevel="0" collapsed="false">
      <c r="A458" s="24" t="n">
        <v>72900</v>
      </c>
      <c r="B458" s="33" t="s">
        <v>629</v>
      </c>
    </row>
    <row r="459" customFormat="false" ht="14.25" hidden="false" customHeight="false" outlineLevel="0" collapsed="false">
      <c r="A459" s="24" t="n">
        <v>73100</v>
      </c>
      <c r="B459" s="32" t="s">
        <v>630</v>
      </c>
    </row>
    <row r="460" customFormat="false" ht="16.4" hidden="false" customHeight="false" outlineLevel="0" collapsed="false">
      <c r="A460" s="24" t="n">
        <v>74100</v>
      </c>
      <c r="B460" s="33" t="s">
        <v>631</v>
      </c>
    </row>
    <row r="461" customFormat="false" ht="14.25" hidden="false" customHeight="false" outlineLevel="0" collapsed="false">
      <c r="A461" s="24" t="n">
        <v>75000</v>
      </c>
      <c r="B461" s="32" t="s">
        <v>632</v>
      </c>
    </row>
    <row r="462" customFormat="false" ht="14.25" hidden="false" customHeight="false" outlineLevel="0" collapsed="false">
      <c r="A462" s="24" t="n">
        <v>75100</v>
      </c>
      <c r="B462" s="32" t="s">
        <v>633</v>
      </c>
    </row>
    <row r="463" customFormat="false" ht="14.25" hidden="false" customHeight="false" outlineLevel="0" collapsed="false">
      <c r="A463" s="24" t="n">
        <v>75110</v>
      </c>
      <c r="B463" s="32" t="s">
        <v>634</v>
      </c>
    </row>
    <row r="464" customFormat="false" ht="14.25" hidden="false" customHeight="false" outlineLevel="0" collapsed="false">
      <c r="A464" s="24" t="n">
        <v>75200</v>
      </c>
      <c r="B464" s="32" t="s">
        <v>635</v>
      </c>
    </row>
    <row r="465" customFormat="false" ht="14.25" hidden="false" customHeight="false" outlineLevel="0" collapsed="false">
      <c r="A465" s="24" t="n">
        <v>75300</v>
      </c>
      <c r="B465" s="32" t="s">
        <v>636</v>
      </c>
    </row>
    <row r="466" customFormat="false" ht="14.25" hidden="false" customHeight="false" outlineLevel="0" collapsed="false">
      <c r="A466" s="24" t="n">
        <v>76000</v>
      </c>
      <c r="B466" s="32" t="s">
        <v>637</v>
      </c>
    </row>
    <row r="467" customFormat="false" ht="14.25" hidden="false" customHeight="false" outlineLevel="0" collapsed="false">
      <c r="A467" s="24" t="n">
        <v>76100</v>
      </c>
      <c r="B467" s="32" t="s">
        <v>638</v>
      </c>
    </row>
    <row r="468" customFormat="false" ht="14.25" hidden="false" customHeight="false" outlineLevel="0" collapsed="false">
      <c r="A468" s="24" t="n">
        <v>76110</v>
      </c>
      <c r="B468" s="32" t="s">
        <v>639</v>
      </c>
    </row>
    <row r="469" customFormat="false" ht="14.25" hidden="false" customHeight="false" outlineLevel="0" collapsed="false">
      <c r="A469" s="24" t="n">
        <v>76120</v>
      </c>
      <c r="B469" s="32" t="s">
        <v>640</v>
      </c>
    </row>
    <row r="470" customFormat="false" ht="14.25" hidden="false" customHeight="false" outlineLevel="0" collapsed="false">
      <c r="A470" s="24" t="n">
        <v>76130</v>
      </c>
      <c r="B470" s="32" t="s">
        <v>641</v>
      </c>
    </row>
    <row r="471" customFormat="false" ht="14.25" hidden="false" customHeight="false" outlineLevel="0" collapsed="false">
      <c r="A471" s="24" t="n">
        <v>76140</v>
      </c>
      <c r="B471" s="32" t="s">
        <v>642</v>
      </c>
    </row>
    <row r="472" customFormat="false" ht="14.25" hidden="false" customHeight="false" outlineLevel="0" collapsed="false">
      <c r="A472" s="24" t="n">
        <v>76200</v>
      </c>
      <c r="B472" s="32" t="s">
        <v>643</v>
      </c>
    </row>
    <row r="473" customFormat="false" ht="14.25" hidden="false" customHeight="false" outlineLevel="0" collapsed="false">
      <c r="A473" s="24" t="n">
        <v>76300</v>
      </c>
      <c r="B473" s="32" t="s">
        <v>644</v>
      </c>
    </row>
    <row r="474" customFormat="false" ht="14.25" hidden="false" customHeight="false" outlineLevel="0" collapsed="false">
      <c r="A474" s="24" t="n">
        <v>76400</v>
      </c>
      <c r="B474" s="32" t="s">
        <v>645</v>
      </c>
    </row>
    <row r="475" customFormat="false" ht="14.25" hidden="false" customHeight="false" outlineLevel="0" collapsed="false">
      <c r="A475" s="24" t="n">
        <v>76500</v>
      </c>
      <c r="B475" s="32" t="s">
        <v>646</v>
      </c>
    </row>
    <row r="476" customFormat="false" ht="14.25" hidden="false" customHeight="false" outlineLevel="0" collapsed="false">
      <c r="A476" s="24" t="n">
        <v>76600</v>
      </c>
      <c r="B476" s="32" t="s">
        <v>647</v>
      </c>
    </row>
    <row r="477" customFormat="false" ht="14.25" hidden="false" customHeight="false" outlineLevel="0" collapsed="false">
      <c r="A477" s="24" t="n">
        <v>77100</v>
      </c>
      <c r="B477" s="32" t="s">
        <v>648</v>
      </c>
    </row>
    <row r="478" customFormat="false" ht="16.4" hidden="false" customHeight="false" outlineLevel="0" collapsed="false">
      <c r="A478" s="24" t="n">
        <v>79200</v>
      </c>
      <c r="B478" s="33" t="s">
        <v>649</v>
      </c>
    </row>
    <row r="479" customFormat="false" ht="14.25" hidden="false" customHeight="false" outlineLevel="0" collapsed="false">
      <c r="A479" s="24" t="n">
        <v>79300</v>
      </c>
      <c r="B479" s="32" t="s">
        <v>650</v>
      </c>
    </row>
    <row r="480" customFormat="false" ht="14.25" hidden="false" customHeight="false" outlineLevel="0" collapsed="false">
      <c r="A480" s="24" t="n">
        <v>79310</v>
      </c>
      <c r="B480" s="32" t="s">
        <v>651</v>
      </c>
    </row>
    <row r="481" customFormat="false" ht="14.25" hidden="false" customHeight="false" outlineLevel="0" collapsed="false">
      <c r="A481" s="24" t="n">
        <v>79400</v>
      </c>
      <c r="B481" s="32" t="s">
        <v>652</v>
      </c>
    </row>
    <row r="482" customFormat="false" ht="14.25" hidden="false" customHeight="false" outlineLevel="0" collapsed="false">
      <c r="A482" s="24" t="n">
        <v>79900</v>
      </c>
      <c r="B482" s="32" t="s">
        <v>653</v>
      </c>
    </row>
    <row r="483" customFormat="false" ht="16.4" hidden="false" customHeight="false" outlineLevel="0" collapsed="false">
      <c r="A483" s="24" t="n">
        <v>81100</v>
      </c>
      <c r="B483" s="32" t="s">
        <v>654</v>
      </c>
    </row>
    <row r="484" customFormat="false" ht="14.25" hidden="false" customHeight="false" outlineLevel="0" collapsed="false">
      <c r="A484" s="24" t="n">
        <v>81200</v>
      </c>
      <c r="B484" s="32" t="s">
        <v>655</v>
      </c>
    </row>
    <row r="485" customFormat="false" ht="14.25" hidden="false" customHeight="false" outlineLevel="0" collapsed="false">
      <c r="A485" s="24" t="n">
        <v>81300</v>
      </c>
      <c r="B485" s="32" t="s">
        <v>656</v>
      </c>
    </row>
    <row r="486" customFormat="false" ht="14.25" hidden="false" customHeight="false" outlineLevel="0" collapsed="false">
      <c r="A486" s="24" t="n">
        <v>82200</v>
      </c>
      <c r="B486" s="32" t="s">
        <v>657</v>
      </c>
    </row>
    <row r="487" customFormat="false" ht="14.25" hidden="false" customHeight="false" outlineLevel="0" collapsed="false">
      <c r="A487" s="24" t="n">
        <v>82300</v>
      </c>
      <c r="B487" s="32" t="s">
        <v>658</v>
      </c>
    </row>
    <row r="488" customFormat="false" ht="14.25" hidden="false" customHeight="false" outlineLevel="0" collapsed="false">
      <c r="A488" s="24" t="n">
        <v>82400</v>
      </c>
      <c r="B488" s="32" t="s">
        <v>659</v>
      </c>
    </row>
    <row r="489" customFormat="false" ht="14.25" hidden="false" customHeight="false" outlineLevel="0" collapsed="false">
      <c r="A489" s="24" t="n">
        <v>82500</v>
      </c>
      <c r="B489" s="32" t="s">
        <v>660</v>
      </c>
    </row>
    <row r="490" customFormat="false" ht="14.25" hidden="false" customHeight="false" outlineLevel="0" collapsed="false">
      <c r="A490" s="24" t="n">
        <v>83000</v>
      </c>
      <c r="B490" s="32" t="s">
        <v>661</v>
      </c>
    </row>
    <row r="491" customFormat="false" ht="14.25" hidden="false" customHeight="false" outlineLevel="0" collapsed="false">
      <c r="A491" s="24" t="n">
        <v>83100</v>
      </c>
      <c r="B491" s="32" t="s">
        <v>662</v>
      </c>
    </row>
    <row r="492" customFormat="false" ht="14.25" hidden="false" customHeight="false" outlineLevel="0" collapsed="false">
      <c r="A492" s="24" t="n">
        <v>83200</v>
      </c>
      <c r="B492" s="32" t="s">
        <v>663</v>
      </c>
    </row>
    <row r="493" customFormat="false" ht="14.25" hidden="false" customHeight="false" outlineLevel="0" collapsed="false">
      <c r="A493" s="24" t="n">
        <v>83210</v>
      </c>
      <c r="B493" s="32" t="s">
        <v>664</v>
      </c>
    </row>
    <row r="494" customFormat="false" ht="14.25" hidden="false" customHeight="false" outlineLevel="0" collapsed="false">
      <c r="A494" s="24" t="n">
        <v>83300</v>
      </c>
      <c r="B494" s="32" t="s">
        <v>665</v>
      </c>
    </row>
    <row r="495" customFormat="false" ht="14.25" hidden="false" customHeight="false" outlineLevel="0" collapsed="false">
      <c r="A495" s="24" t="n">
        <v>83400</v>
      </c>
      <c r="B495" s="32" t="s">
        <v>666</v>
      </c>
    </row>
    <row r="496" customFormat="false" ht="14.25" hidden="false" customHeight="false" outlineLevel="0" collapsed="false">
      <c r="A496" s="24" t="n">
        <v>83410</v>
      </c>
      <c r="B496" s="32" t="s">
        <v>667</v>
      </c>
    </row>
    <row r="497" customFormat="false" ht="16.4" hidden="false" customHeight="false" outlineLevel="0" collapsed="false">
      <c r="A497" s="24" t="n">
        <v>83500</v>
      </c>
      <c r="B497" s="32" t="s">
        <v>668</v>
      </c>
    </row>
    <row r="498" customFormat="false" ht="14.25" hidden="false" customHeight="false" outlineLevel="0" collapsed="false">
      <c r="A498" s="24" t="n">
        <v>83510</v>
      </c>
      <c r="B498" s="32" t="s">
        <v>669</v>
      </c>
    </row>
    <row r="499" customFormat="false" ht="14.25" hidden="false" customHeight="false" outlineLevel="0" collapsed="false">
      <c r="A499" s="24" t="n">
        <v>83520</v>
      </c>
      <c r="B499" s="32" t="s">
        <v>670</v>
      </c>
    </row>
    <row r="500" customFormat="false" ht="14.25" hidden="false" customHeight="false" outlineLevel="0" collapsed="false">
      <c r="A500" s="24" t="n">
        <v>84100</v>
      </c>
      <c r="B500" s="32" t="s">
        <v>671</v>
      </c>
    </row>
    <row r="501" customFormat="false" ht="14.25" hidden="false" customHeight="false" outlineLevel="0" collapsed="false">
      <c r="A501" s="24" t="n">
        <v>84200</v>
      </c>
      <c r="B501" s="32" t="s">
        <v>672</v>
      </c>
    </row>
    <row r="502" customFormat="false" ht="14.25" hidden="false" customHeight="false" outlineLevel="0" collapsed="false">
      <c r="A502" s="24" t="n">
        <v>84300</v>
      </c>
      <c r="B502" s="32" t="s">
        <v>673</v>
      </c>
    </row>
    <row r="503" customFormat="false" ht="14.25" hidden="false" customHeight="false" outlineLevel="0" collapsed="false">
      <c r="A503" s="24" t="n">
        <v>84310</v>
      </c>
      <c r="B503" s="32" t="s">
        <v>674</v>
      </c>
    </row>
    <row r="504" customFormat="false" ht="14.25" hidden="false" customHeight="false" outlineLevel="0" collapsed="false">
      <c r="A504" s="24" t="n">
        <v>84400</v>
      </c>
      <c r="B504" s="32" t="s">
        <v>675</v>
      </c>
    </row>
    <row r="505" customFormat="false" ht="14.25" hidden="false" customHeight="false" outlineLevel="0" collapsed="false">
      <c r="A505" s="24" t="n">
        <v>84500</v>
      </c>
      <c r="B505" s="32" t="s">
        <v>676</v>
      </c>
    </row>
    <row r="506" customFormat="false" ht="14.25" hidden="false" customHeight="false" outlineLevel="0" collapsed="false">
      <c r="A506" s="24" t="n">
        <v>84510</v>
      </c>
      <c r="B506" s="32" t="s">
        <v>677</v>
      </c>
    </row>
    <row r="507" customFormat="false" ht="14.25" hidden="false" customHeight="false" outlineLevel="0" collapsed="false">
      <c r="A507" s="24" t="n">
        <v>84520</v>
      </c>
      <c r="B507" s="32" t="s">
        <v>678</v>
      </c>
    </row>
    <row r="508" customFormat="false" ht="14.25" hidden="false" customHeight="false" outlineLevel="0" collapsed="false">
      <c r="A508" s="24" t="n">
        <v>84530</v>
      </c>
      <c r="B508" s="32" t="s">
        <v>679</v>
      </c>
    </row>
    <row r="509" customFormat="false" ht="14.25" hidden="false" customHeight="false" outlineLevel="0" collapsed="false">
      <c r="A509" s="24" t="n">
        <v>84600</v>
      </c>
      <c r="B509" s="32" t="s">
        <v>680</v>
      </c>
    </row>
    <row r="510" customFormat="false" ht="14.25" hidden="false" customHeight="false" outlineLevel="0" collapsed="false">
      <c r="A510" s="24" t="n">
        <v>84700</v>
      </c>
      <c r="B510" s="32" t="s">
        <v>681</v>
      </c>
    </row>
    <row r="511" customFormat="false" ht="14.25" hidden="false" customHeight="false" outlineLevel="0" collapsed="false">
      <c r="A511" s="24" t="n">
        <v>84710</v>
      </c>
      <c r="B511" s="32" t="s">
        <v>682</v>
      </c>
    </row>
    <row r="512" customFormat="false" ht="14.25" hidden="false" customHeight="false" outlineLevel="0" collapsed="false">
      <c r="A512" s="24" t="n">
        <v>84720</v>
      </c>
      <c r="B512" s="32" t="s">
        <v>683</v>
      </c>
    </row>
    <row r="513" customFormat="false" ht="14.25" hidden="false" customHeight="false" outlineLevel="0" collapsed="false">
      <c r="A513" s="24" t="n">
        <v>84800</v>
      </c>
      <c r="B513" s="32" t="s">
        <v>684</v>
      </c>
    </row>
    <row r="514" customFormat="false" ht="14.25" hidden="false" customHeight="false" outlineLevel="0" collapsed="false">
      <c r="A514" s="24" t="n">
        <v>84900</v>
      </c>
      <c r="B514" s="32" t="s">
        <v>685</v>
      </c>
    </row>
    <row r="515" customFormat="false" ht="14.25" hidden="false" customHeight="false" outlineLevel="0" collapsed="false">
      <c r="A515" s="24" t="n">
        <v>85000</v>
      </c>
      <c r="B515" s="32" t="s">
        <v>686</v>
      </c>
    </row>
    <row r="516" customFormat="false" ht="14.25" hidden="false" customHeight="false" outlineLevel="0" collapsed="false">
      <c r="A516" s="24" t="n">
        <v>85100</v>
      </c>
      <c r="B516" s="32" t="s">
        <v>687</v>
      </c>
    </row>
    <row r="517" customFormat="false" ht="14.25" hidden="false" customHeight="false" outlineLevel="0" collapsed="false">
      <c r="A517" s="24" t="n">
        <v>85200</v>
      </c>
      <c r="B517" s="32" t="s">
        <v>688</v>
      </c>
    </row>
    <row r="518" customFormat="false" ht="14.25" hidden="false" customHeight="false" outlineLevel="0" collapsed="false">
      <c r="A518" s="24" t="n">
        <v>85300</v>
      </c>
      <c r="B518" s="32" t="s">
        <v>689</v>
      </c>
    </row>
    <row r="519" customFormat="false" ht="14.25" hidden="false" customHeight="false" outlineLevel="0" collapsed="false">
      <c r="A519" s="24" t="n">
        <v>85500</v>
      </c>
      <c r="B519" s="32" t="s">
        <v>690</v>
      </c>
    </row>
    <row r="520" customFormat="false" ht="14.25" hidden="false" customHeight="false" outlineLevel="0" collapsed="false">
      <c r="A520" s="24" t="n">
        <v>85510</v>
      </c>
      <c r="B520" s="32" t="s">
        <v>691</v>
      </c>
    </row>
    <row r="521" customFormat="false" ht="14.25" hidden="false" customHeight="false" outlineLevel="0" collapsed="false">
      <c r="A521" s="24" t="n">
        <v>85520</v>
      </c>
      <c r="B521" s="32" t="s">
        <v>692</v>
      </c>
    </row>
    <row r="522" customFormat="false" ht="14.25" hidden="false" customHeight="false" outlineLevel="0" collapsed="false">
      <c r="A522" s="24" t="n">
        <v>85600</v>
      </c>
      <c r="B522" s="32" t="s">
        <v>693</v>
      </c>
    </row>
    <row r="523" customFormat="false" ht="16.4" hidden="false" customHeight="false" outlineLevel="0" collapsed="false">
      <c r="A523" s="24" t="n">
        <v>90100</v>
      </c>
      <c r="B523" s="32" t="s">
        <v>694</v>
      </c>
    </row>
    <row r="524" customFormat="false" ht="14.25" hidden="false" customHeight="false" outlineLevel="0" collapsed="false">
      <c r="A524" s="24" t="n">
        <v>91000</v>
      </c>
      <c r="B524" s="32" t="s">
        <v>695</v>
      </c>
    </row>
    <row r="525" customFormat="false" ht="14.25" hidden="false" customHeight="false" outlineLevel="0" collapsed="false">
      <c r="A525" s="24" t="n">
        <v>110100</v>
      </c>
      <c r="B525" s="32" t="s">
        <v>696</v>
      </c>
    </row>
    <row r="526" customFormat="false" ht="14.25" hidden="false" customHeight="false" outlineLevel="0" collapsed="false">
      <c r="A526" s="24" t="n">
        <v>110200</v>
      </c>
      <c r="B526" s="32" t="s">
        <v>697</v>
      </c>
    </row>
    <row r="527" customFormat="false" ht="14.25" hidden="false" customHeight="false" outlineLevel="0" collapsed="false">
      <c r="A527" s="24" t="n">
        <v>110210</v>
      </c>
      <c r="B527" s="32" t="s">
        <v>698</v>
      </c>
    </row>
    <row r="528" customFormat="false" ht="14.25" hidden="false" customHeight="false" outlineLevel="0" collapsed="false">
      <c r="A528" s="24" t="n">
        <v>110220</v>
      </c>
      <c r="B528" s="32" t="s">
        <v>699</v>
      </c>
    </row>
    <row r="529" customFormat="false" ht="14.25" hidden="false" customHeight="false" outlineLevel="0" collapsed="false">
      <c r="A529" s="24" t="n">
        <v>110230</v>
      </c>
      <c r="B529" s="32" t="s">
        <v>700</v>
      </c>
    </row>
    <row r="530" customFormat="false" ht="14.25" hidden="false" customHeight="false" outlineLevel="0" collapsed="false">
      <c r="A530" s="24" t="n">
        <v>110240</v>
      </c>
      <c r="B530" s="32" t="s">
        <v>701</v>
      </c>
    </row>
    <row r="531" customFormat="false" ht="14.25" hidden="false" customHeight="false" outlineLevel="0" collapsed="false">
      <c r="A531" s="24" t="n">
        <v>110250</v>
      </c>
      <c r="B531" s="32" t="s">
        <v>702</v>
      </c>
    </row>
    <row r="532" customFormat="false" ht="14.25" hidden="false" customHeight="false" outlineLevel="0" collapsed="false">
      <c r="A532" s="24" t="n">
        <v>110260</v>
      </c>
      <c r="B532" s="32" t="s">
        <v>703</v>
      </c>
    </row>
    <row r="533" customFormat="false" ht="14.25" hidden="false" customHeight="false" outlineLevel="0" collapsed="false">
      <c r="A533" s="24" t="n">
        <v>110261</v>
      </c>
      <c r="B533" s="32" t="s">
        <v>704</v>
      </c>
    </row>
    <row r="534" customFormat="false" ht="14.25" hidden="false" customHeight="false" outlineLevel="0" collapsed="false">
      <c r="A534" s="24" t="n">
        <v>110262</v>
      </c>
      <c r="B534" s="32" t="s">
        <v>705</v>
      </c>
    </row>
    <row r="535" customFormat="false" ht="14.25" hidden="false" customHeight="false" outlineLevel="0" collapsed="false">
      <c r="A535" s="24" t="n">
        <v>110263</v>
      </c>
      <c r="B535" s="32" t="s">
        <v>706</v>
      </c>
    </row>
    <row r="536" customFormat="false" ht="14.25" hidden="false" customHeight="false" outlineLevel="0" collapsed="false">
      <c r="A536" s="24" t="n">
        <v>110264</v>
      </c>
      <c r="B536" s="32" t="s">
        <v>707</v>
      </c>
    </row>
    <row r="537" customFormat="false" ht="14.25" hidden="false" customHeight="false" outlineLevel="0" collapsed="false">
      <c r="A537" s="24" t="n">
        <v>110270</v>
      </c>
      <c r="B537" s="32" t="s">
        <v>708</v>
      </c>
    </row>
    <row r="538" customFormat="false" ht="14.25" hidden="false" customHeight="false" outlineLevel="0" collapsed="false">
      <c r="A538" s="24" t="n">
        <v>110390</v>
      </c>
      <c r="B538" s="32" t="s">
        <v>709</v>
      </c>
    </row>
    <row r="539" customFormat="false" ht="14.25" hidden="false" customHeight="false" outlineLevel="0" collapsed="false">
      <c r="A539" s="24" t="n">
        <v>110400</v>
      </c>
      <c r="B539" s="32" t="s">
        <v>710</v>
      </c>
    </row>
    <row r="540" customFormat="false" ht="14.25" hidden="false" customHeight="false" outlineLevel="0" collapsed="false">
      <c r="A540" s="24" t="n">
        <v>110410</v>
      </c>
      <c r="B540" s="32" t="s">
        <v>711</v>
      </c>
    </row>
    <row r="541" customFormat="false" ht="14.25" hidden="false" customHeight="false" outlineLevel="0" collapsed="false">
      <c r="A541" s="24" t="n">
        <v>110420</v>
      </c>
      <c r="B541" s="32" t="s">
        <v>712</v>
      </c>
    </row>
    <row r="542" customFormat="false" ht="14.25" hidden="false" customHeight="false" outlineLevel="0" collapsed="false">
      <c r="A542" s="24" t="n">
        <v>110430</v>
      </c>
      <c r="B542" s="32" t="s">
        <v>713</v>
      </c>
    </row>
    <row r="543" customFormat="false" ht="14.25" hidden="false" customHeight="false" outlineLevel="0" collapsed="false">
      <c r="A543" s="24" t="n">
        <v>110440</v>
      </c>
      <c r="B543" s="32" t="s">
        <v>714</v>
      </c>
    </row>
    <row r="544" customFormat="false" ht="14.25" hidden="false" customHeight="false" outlineLevel="0" collapsed="false">
      <c r="A544" s="24" t="n">
        <v>110500</v>
      </c>
      <c r="B544" s="32" t="s">
        <v>715</v>
      </c>
    </row>
    <row r="545" customFormat="false" ht="14.25" hidden="false" customHeight="false" outlineLevel="0" collapsed="false">
      <c r="A545" s="24" t="n">
        <v>110510</v>
      </c>
      <c r="B545" s="32" t="s">
        <v>716</v>
      </c>
    </row>
    <row r="546" customFormat="false" ht="14.25" hidden="false" customHeight="false" outlineLevel="0" collapsed="false">
      <c r="A546" s="24" t="n">
        <v>110511</v>
      </c>
      <c r="B546" s="32" t="s">
        <v>717</v>
      </c>
    </row>
    <row r="547" customFormat="false" ht="14.25" hidden="false" customHeight="false" outlineLevel="0" collapsed="false">
      <c r="A547" s="24" t="n">
        <v>110512</v>
      </c>
      <c r="B547" s="32" t="s">
        <v>718</v>
      </c>
    </row>
    <row r="548" customFormat="false" ht="14.25" hidden="false" customHeight="false" outlineLevel="0" collapsed="false">
      <c r="A548" s="24" t="n">
        <v>110513</v>
      </c>
      <c r="B548" s="32" t="s">
        <v>719</v>
      </c>
    </row>
    <row r="549" customFormat="false" ht="14.25" hidden="false" customHeight="false" outlineLevel="0" collapsed="false">
      <c r="A549" s="24" t="n">
        <v>110514</v>
      </c>
      <c r="B549" s="32" t="s">
        <v>720</v>
      </c>
    </row>
    <row r="550" customFormat="false" ht="14.25" hidden="false" customHeight="false" outlineLevel="0" collapsed="false">
      <c r="A550" s="24" t="n">
        <v>110515</v>
      </c>
      <c r="B550" s="32" t="s">
        <v>721</v>
      </c>
    </row>
    <row r="551" customFormat="false" ht="14.25" hidden="false" customHeight="false" outlineLevel="0" collapsed="false">
      <c r="A551" s="24" t="n">
        <v>110516</v>
      </c>
      <c r="B551" s="32" t="s">
        <v>722</v>
      </c>
    </row>
    <row r="552" customFormat="false" ht="14.25" hidden="false" customHeight="false" outlineLevel="0" collapsed="false">
      <c r="A552" s="24" t="n">
        <v>110517</v>
      </c>
      <c r="B552" s="32" t="s">
        <v>723</v>
      </c>
    </row>
    <row r="553" customFormat="false" ht="14.25" hidden="false" customHeight="false" outlineLevel="0" collapsed="false">
      <c r="A553" s="24" t="n">
        <v>110518</v>
      </c>
      <c r="B553" s="32" t="s">
        <v>724</v>
      </c>
    </row>
    <row r="554" customFormat="false" ht="14.25" hidden="false" customHeight="false" outlineLevel="0" collapsed="false">
      <c r="A554" s="24" t="n">
        <v>110519</v>
      </c>
      <c r="B554" s="32" t="s">
        <v>725</v>
      </c>
    </row>
    <row r="555" customFormat="false" ht="16.4" hidden="false" customHeight="false" outlineLevel="0" collapsed="false">
      <c r="A555" s="24" t="n">
        <v>110520</v>
      </c>
      <c r="B555" s="33" t="s">
        <v>726</v>
      </c>
    </row>
    <row r="556" customFormat="false" ht="14.25" hidden="false" customHeight="false" outlineLevel="0" collapsed="false">
      <c r="A556" s="24" t="n">
        <v>110521</v>
      </c>
      <c r="B556" s="32" t="s">
        <v>727</v>
      </c>
    </row>
    <row r="557" customFormat="false" ht="14.25" hidden="false" customHeight="false" outlineLevel="0" collapsed="false">
      <c r="A557" s="24" t="n">
        <v>110522</v>
      </c>
      <c r="B557" s="32" t="s">
        <v>728</v>
      </c>
    </row>
    <row r="558" customFormat="false" ht="14.25" hidden="false" customHeight="false" outlineLevel="0" collapsed="false">
      <c r="A558" s="24" t="n">
        <v>110523</v>
      </c>
      <c r="B558" s="32" t="s">
        <v>729</v>
      </c>
    </row>
    <row r="559" customFormat="false" ht="14.25" hidden="false" customHeight="false" outlineLevel="0" collapsed="false">
      <c r="A559" s="24" t="n">
        <v>110530</v>
      </c>
      <c r="B559" s="32" t="s">
        <v>730</v>
      </c>
    </row>
    <row r="560" customFormat="false" ht="14.25" hidden="false" customHeight="false" outlineLevel="0" collapsed="false">
      <c r="A560" s="24" t="n">
        <v>110531</v>
      </c>
      <c r="B560" s="32" t="s">
        <v>731</v>
      </c>
    </row>
    <row r="561" customFormat="false" ht="14.25" hidden="false" customHeight="false" outlineLevel="0" collapsed="false">
      <c r="A561" s="24" t="n">
        <v>110540</v>
      </c>
      <c r="B561" s="32" t="s">
        <v>732</v>
      </c>
    </row>
    <row r="562" customFormat="false" ht="14.25" hidden="false" customHeight="false" outlineLevel="0" collapsed="false">
      <c r="A562" s="24" t="n">
        <v>110541</v>
      </c>
      <c r="B562" s="32" t="s">
        <v>733</v>
      </c>
    </row>
    <row r="563" customFormat="false" ht="14.25" hidden="false" customHeight="false" outlineLevel="0" collapsed="false">
      <c r="A563" s="24" t="n">
        <v>110542</v>
      </c>
      <c r="B563" s="32" t="s">
        <v>734</v>
      </c>
    </row>
    <row r="564" customFormat="false" ht="14.25" hidden="false" customHeight="false" outlineLevel="0" collapsed="false">
      <c r="A564" s="24" t="n">
        <v>110543</v>
      </c>
      <c r="B564" s="32" t="s">
        <v>735</v>
      </c>
    </row>
    <row r="565" customFormat="false" ht="14.25" hidden="false" customHeight="false" outlineLevel="0" collapsed="false">
      <c r="A565" s="24" t="n">
        <v>110544</v>
      </c>
      <c r="B565" s="32" t="s">
        <v>736</v>
      </c>
    </row>
    <row r="566" customFormat="false" ht="14.25" hidden="false" customHeight="false" outlineLevel="0" collapsed="false">
      <c r="A566" s="24" t="n">
        <v>110545</v>
      </c>
      <c r="B566" s="32" t="s">
        <v>737</v>
      </c>
    </row>
    <row r="567" customFormat="false" ht="14.25" hidden="false" customHeight="false" outlineLevel="0" collapsed="false">
      <c r="A567" s="24" t="n">
        <v>110550</v>
      </c>
      <c r="B567" s="32" t="s">
        <v>738</v>
      </c>
    </row>
    <row r="568" customFormat="false" ht="14.25" hidden="false" customHeight="false" outlineLevel="0" collapsed="false">
      <c r="A568" s="24" t="n">
        <v>110551</v>
      </c>
      <c r="B568" s="32" t="s">
        <v>739</v>
      </c>
    </row>
    <row r="569" customFormat="false" ht="14.25" hidden="false" customHeight="false" outlineLevel="0" collapsed="false">
      <c r="A569" s="24" t="n">
        <v>110552</v>
      </c>
      <c r="B569" s="32" t="s">
        <v>740</v>
      </c>
    </row>
    <row r="570" customFormat="false" ht="14.25" hidden="false" customHeight="false" outlineLevel="0" collapsed="false">
      <c r="A570" s="24" t="n">
        <v>110560</v>
      </c>
      <c r="B570" s="32" t="s">
        <v>741</v>
      </c>
    </row>
    <row r="571" customFormat="false" ht="14.25" hidden="false" customHeight="false" outlineLevel="0" collapsed="false">
      <c r="A571" s="24" t="n">
        <v>110561</v>
      </c>
      <c r="B571" s="32" t="s">
        <v>742</v>
      </c>
    </row>
    <row r="572" customFormat="false" ht="14.25" hidden="false" customHeight="false" outlineLevel="0" collapsed="false">
      <c r="A572" s="24" t="n">
        <v>110570</v>
      </c>
      <c r="B572" s="32" t="s">
        <v>743</v>
      </c>
    </row>
    <row r="573" customFormat="false" ht="14.25" hidden="false" customHeight="false" outlineLevel="0" collapsed="false">
      <c r="A573" s="24" t="n">
        <v>110580</v>
      </c>
      <c r="B573" s="32" t="s">
        <v>744</v>
      </c>
    </row>
    <row r="574" customFormat="false" ht="14.25" hidden="false" customHeight="false" outlineLevel="0" collapsed="false">
      <c r="A574" s="24" t="n">
        <v>110581</v>
      </c>
      <c r="B574" s="32" t="s">
        <v>745</v>
      </c>
    </row>
    <row r="575" customFormat="false" ht="14.25" hidden="false" customHeight="false" outlineLevel="0" collapsed="false">
      <c r="A575" s="24" t="n">
        <v>110590</v>
      </c>
      <c r="B575" s="32" t="s">
        <v>746</v>
      </c>
    </row>
    <row r="576" customFormat="false" ht="14.25" hidden="false" customHeight="false" outlineLevel="0" collapsed="false">
      <c r="A576" s="24" t="n">
        <v>110591</v>
      </c>
      <c r="B576" s="32" t="s">
        <v>747</v>
      </c>
    </row>
    <row r="577" customFormat="false" ht="14.25" hidden="false" customHeight="false" outlineLevel="0" collapsed="false">
      <c r="A577" s="24" t="n">
        <v>110592</v>
      </c>
      <c r="B577" s="32" t="s">
        <v>748</v>
      </c>
    </row>
    <row r="578" customFormat="false" ht="14.25" hidden="false" customHeight="false" outlineLevel="0" collapsed="false">
      <c r="A578" s="24" t="n">
        <v>110593</v>
      </c>
      <c r="B578" s="32" t="s">
        <v>749</v>
      </c>
    </row>
    <row r="579" customFormat="false" ht="14.25" hidden="false" customHeight="false" outlineLevel="0" collapsed="false">
      <c r="A579" s="24" t="n">
        <v>110600</v>
      </c>
      <c r="B579" s="32" t="s">
        <v>750</v>
      </c>
    </row>
    <row r="580" customFormat="false" ht="14.25" hidden="false" customHeight="false" outlineLevel="0" collapsed="false">
      <c r="A580" s="24" t="n">
        <v>110601</v>
      </c>
      <c r="B580" s="32" t="s">
        <v>751</v>
      </c>
    </row>
    <row r="581" customFormat="false" ht="14.25" hidden="false" customHeight="false" outlineLevel="0" collapsed="false">
      <c r="A581" s="24" t="n">
        <v>110610</v>
      </c>
      <c r="B581" s="32" t="s">
        <v>752</v>
      </c>
    </row>
    <row r="582" customFormat="false" ht="14.25" hidden="false" customHeight="false" outlineLevel="0" collapsed="false">
      <c r="A582" s="24" t="n">
        <v>110611</v>
      </c>
      <c r="B582" s="32" t="s">
        <v>753</v>
      </c>
    </row>
    <row r="583" customFormat="false" ht="14.25" hidden="false" customHeight="false" outlineLevel="0" collapsed="false">
      <c r="A583" s="24" t="n">
        <v>110612</v>
      </c>
      <c r="B583" s="32" t="s">
        <v>754</v>
      </c>
    </row>
    <row r="584" customFormat="false" ht="14.25" hidden="false" customHeight="false" outlineLevel="0" collapsed="false">
      <c r="A584" s="24" t="n">
        <v>110613</v>
      </c>
      <c r="B584" s="32" t="s">
        <v>755</v>
      </c>
    </row>
    <row r="585" customFormat="false" ht="14.25" hidden="false" customHeight="false" outlineLevel="0" collapsed="false">
      <c r="A585" s="24" t="n">
        <v>110614</v>
      </c>
      <c r="B585" s="32" t="s">
        <v>756</v>
      </c>
    </row>
    <row r="586" customFormat="false" ht="14.25" hidden="false" customHeight="false" outlineLevel="0" collapsed="false">
      <c r="A586" s="24" t="n">
        <v>110615</v>
      </c>
      <c r="B586" s="32" t="s">
        <v>757</v>
      </c>
    </row>
    <row r="587" customFormat="false" ht="14.25" hidden="false" customHeight="false" outlineLevel="0" collapsed="false">
      <c r="A587" s="24" t="n">
        <v>110620</v>
      </c>
      <c r="B587" s="32" t="s">
        <v>758</v>
      </c>
    </row>
    <row r="588" customFormat="false" ht="14.25" hidden="false" customHeight="false" outlineLevel="0" collapsed="false">
      <c r="A588" s="24" t="n">
        <v>110621</v>
      </c>
      <c r="B588" s="32" t="s">
        <v>759</v>
      </c>
    </row>
    <row r="589" customFormat="false" ht="14.25" hidden="false" customHeight="false" outlineLevel="0" collapsed="false">
      <c r="A589" s="24" t="n">
        <v>110622</v>
      </c>
      <c r="B589" s="32" t="s">
        <v>760</v>
      </c>
    </row>
    <row r="590" customFormat="false" ht="14.25" hidden="false" customHeight="false" outlineLevel="0" collapsed="false">
      <c r="A590" s="24" t="n">
        <v>110623</v>
      </c>
      <c r="B590" s="32" t="s">
        <v>761</v>
      </c>
    </row>
    <row r="591" customFormat="false" ht="14.25" hidden="false" customHeight="false" outlineLevel="0" collapsed="false">
      <c r="A591" s="24" t="n">
        <v>110624</v>
      </c>
      <c r="B591" s="32" t="s">
        <v>762</v>
      </c>
    </row>
    <row r="592" customFormat="false" ht="14.25" hidden="false" customHeight="false" outlineLevel="0" collapsed="false">
      <c r="A592" s="24" t="n">
        <v>110625</v>
      </c>
      <c r="B592" s="32" t="s">
        <v>763</v>
      </c>
    </row>
    <row r="593" customFormat="false" ht="14.25" hidden="false" customHeight="false" outlineLevel="0" collapsed="false">
      <c r="A593" s="24" t="n">
        <v>110629</v>
      </c>
      <c r="B593" s="32" t="s">
        <v>764</v>
      </c>
    </row>
    <row r="594" customFormat="false" ht="14.25" hidden="false" customHeight="false" outlineLevel="0" collapsed="false">
      <c r="A594" s="24" t="n">
        <v>110630</v>
      </c>
      <c r="B594" s="32" t="s">
        <v>765</v>
      </c>
    </row>
    <row r="595" customFormat="false" ht="14.25" hidden="false" customHeight="false" outlineLevel="0" collapsed="false">
      <c r="A595" s="24" t="n">
        <v>110631</v>
      </c>
      <c r="B595" s="32" t="s">
        <v>766</v>
      </c>
    </row>
    <row r="596" customFormat="false" ht="14.25" hidden="false" customHeight="false" outlineLevel="0" collapsed="false">
      <c r="A596" s="24" t="n">
        <v>110632</v>
      </c>
      <c r="B596" s="32" t="s">
        <v>767</v>
      </c>
    </row>
    <row r="597" customFormat="false" ht="14.25" hidden="false" customHeight="false" outlineLevel="0" collapsed="false">
      <c r="A597" s="24" t="n">
        <v>110633</v>
      </c>
      <c r="B597" s="32" t="s">
        <v>768</v>
      </c>
    </row>
    <row r="598" customFormat="false" ht="14.25" hidden="false" customHeight="false" outlineLevel="0" collapsed="false">
      <c r="A598" s="24" t="n">
        <v>110634</v>
      </c>
      <c r="B598" s="32" t="s">
        <v>769</v>
      </c>
    </row>
    <row r="599" customFormat="false" ht="14.25" hidden="false" customHeight="false" outlineLevel="0" collapsed="false">
      <c r="A599" s="24" t="n">
        <v>110635</v>
      </c>
      <c r="B599" s="32" t="s">
        <v>770</v>
      </c>
    </row>
    <row r="600" customFormat="false" ht="14.25" hidden="false" customHeight="false" outlineLevel="0" collapsed="false">
      <c r="A600" s="24" t="n">
        <v>110636</v>
      </c>
      <c r="B600" s="32" t="s">
        <v>771</v>
      </c>
    </row>
    <row r="601" customFormat="false" ht="14.25" hidden="false" customHeight="false" outlineLevel="0" collapsed="false">
      <c r="A601" s="24" t="n">
        <v>110640</v>
      </c>
      <c r="B601" s="32" t="s">
        <v>772</v>
      </c>
    </row>
    <row r="602" customFormat="false" ht="14.25" hidden="false" customHeight="false" outlineLevel="0" collapsed="false">
      <c r="A602" s="24" t="n">
        <v>110641</v>
      </c>
      <c r="B602" s="32" t="s">
        <v>773</v>
      </c>
    </row>
    <row r="603" customFormat="false" ht="14.25" hidden="false" customHeight="false" outlineLevel="0" collapsed="false">
      <c r="A603" s="24" t="n">
        <v>110642</v>
      </c>
      <c r="B603" s="32" t="s">
        <v>774</v>
      </c>
    </row>
    <row r="604" customFormat="false" ht="14.25" hidden="false" customHeight="false" outlineLevel="0" collapsed="false">
      <c r="A604" s="24" t="n">
        <v>110643</v>
      </c>
      <c r="B604" s="32" t="s">
        <v>775</v>
      </c>
    </row>
    <row r="605" customFormat="false" ht="14.25" hidden="false" customHeight="false" outlineLevel="0" collapsed="false">
      <c r="A605" s="24" t="n">
        <v>110644</v>
      </c>
      <c r="B605" s="32" t="s">
        <v>776</v>
      </c>
    </row>
    <row r="606" customFormat="false" ht="14.25" hidden="false" customHeight="false" outlineLevel="0" collapsed="false">
      <c r="A606" s="24" t="n">
        <v>110650</v>
      </c>
      <c r="B606" s="32" t="s">
        <v>777</v>
      </c>
    </row>
    <row r="607" customFormat="false" ht="14.25" hidden="false" customHeight="false" outlineLevel="0" collapsed="false">
      <c r="A607" s="24" t="n">
        <v>110651</v>
      </c>
      <c r="B607" s="32" t="s">
        <v>778</v>
      </c>
    </row>
    <row r="608" customFormat="false" ht="14.25" hidden="false" customHeight="false" outlineLevel="0" collapsed="false">
      <c r="A608" s="24" t="n">
        <v>110652</v>
      </c>
      <c r="B608" s="32" t="s">
        <v>779</v>
      </c>
    </row>
    <row r="609" customFormat="false" ht="14.25" hidden="false" customHeight="false" outlineLevel="0" collapsed="false">
      <c r="A609" s="24" t="n">
        <v>110653</v>
      </c>
      <c r="B609" s="32" t="s">
        <v>780</v>
      </c>
    </row>
    <row r="610" customFormat="false" ht="14.25" hidden="false" customHeight="false" outlineLevel="0" collapsed="false">
      <c r="A610" s="24" t="n">
        <v>110660</v>
      </c>
      <c r="B610" s="32" t="s">
        <v>781</v>
      </c>
    </row>
    <row r="611" customFormat="false" ht="14.25" hidden="false" customHeight="false" outlineLevel="0" collapsed="false">
      <c r="A611" s="24" t="n">
        <v>110661</v>
      </c>
      <c r="B611" s="32" t="s">
        <v>782</v>
      </c>
    </row>
    <row r="612" customFormat="false" ht="14.25" hidden="false" customHeight="false" outlineLevel="0" collapsed="false">
      <c r="A612" s="24" t="n">
        <v>110662</v>
      </c>
      <c r="B612" s="32" t="s">
        <v>783</v>
      </c>
    </row>
    <row r="613" customFormat="false" ht="14.25" hidden="false" customHeight="false" outlineLevel="0" collapsed="false">
      <c r="A613" s="24" t="n">
        <v>110663</v>
      </c>
      <c r="B613" s="32" t="s">
        <v>784</v>
      </c>
    </row>
    <row r="614" customFormat="false" ht="14.25" hidden="false" customHeight="false" outlineLevel="0" collapsed="false">
      <c r="A614" s="24" t="n">
        <v>110664</v>
      </c>
      <c r="B614" s="32" t="s">
        <v>679</v>
      </c>
    </row>
    <row r="615" customFormat="false" ht="14.25" hidden="false" customHeight="false" outlineLevel="0" collapsed="false">
      <c r="A615" s="24" t="n">
        <v>110665</v>
      </c>
      <c r="B615" s="32" t="s">
        <v>785</v>
      </c>
    </row>
    <row r="616" customFormat="false" ht="14.25" hidden="false" customHeight="false" outlineLevel="0" collapsed="false">
      <c r="A616" s="24" t="n">
        <v>110666</v>
      </c>
      <c r="B616" s="32" t="s">
        <v>786</v>
      </c>
    </row>
    <row r="617" customFormat="false" ht="14.25" hidden="false" customHeight="false" outlineLevel="0" collapsed="false">
      <c r="A617" s="24" t="n">
        <v>110670</v>
      </c>
      <c r="B617" s="32" t="s">
        <v>787</v>
      </c>
    </row>
    <row r="618" customFormat="false" ht="14.25" hidden="false" customHeight="false" outlineLevel="0" collapsed="false">
      <c r="A618" s="24" t="n">
        <v>110671</v>
      </c>
      <c r="B618" s="32" t="s">
        <v>788</v>
      </c>
    </row>
    <row r="619" customFormat="false" ht="14.25" hidden="false" customHeight="false" outlineLevel="0" collapsed="false">
      <c r="A619" s="24" t="n">
        <v>110672</v>
      </c>
      <c r="B619" s="32" t="s">
        <v>789</v>
      </c>
    </row>
    <row r="620" customFormat="false" ht="14.25" hidden="false" customHeight="false" outlineLevel="0" collapsed="false">
      <c r="A620" s="24" t="n">
        <v>110680</v>
      </c>
      <c r="B620" s="32" t="s">
        <v>790</v>
      </c>
    </row>
    <row r="621" customFormat="false" ht="14.25" hidden="false" customHeight="false" outlineLevel="0" collapsed="false">
      <c r="A621" s="24" t="n">
        <v>110690</v>
      </c>
      <c r="B621" s="32" t="s">
        <v>791</v>
      </c>
    </row>
    <row r="622" customFormat="false" ht="14.25" hidden="false" customHeight="false" outlineLevel="0" collapsed="false">
      <c r="A622" s="24" t="n">
        <v>110691</v>
      </c>
      <c r="B622" s="32" t="s">
        <v>792</v>
      </c>
    </row>
    <row r="623" customFormat="false" ht="14.25" hidden="false" customHeight="false" outlineLevel="0" collapsed="false">
      <c r="A623" s="24" t="n">
        <v>110692</v>
      </c>
      <c r="B623" s="32" t="s">
        <v>793</v>
      </c>
    </row>
    <row r="624" customFormat="false" ht="14.25" hidden="false" customHeight="false" outlineLevel="0" collapsed="false">
      <c r="A624" s="24" t="n">
        <v>110700</v>
      </c>
      <c r="B624" s="32" t="s">
        <v>794</v>
      </c>
    </row>
    <row r="625" customFormat="false" ht="14.25" hidden="false" customHeight="false" outlineLevel="0" collapsed="false">
      <c r="A625" s="24" t="n">
        <v>110710</v>
      </c>
      <c r="B625" s="32" t="s">
        <v>795</v>
      </c>
    </row>
    <row r="626" customFormat="false" ht="14.25" hidden="false" customHeight="false" outlineLevel="0" collapsed="false">
      <c r="A626" s="24" t="n">
        <v>110720</v>
      </c>
      <c r="B626" s="32" t="s">
        <v>796</v>
      </c>
    </row>
    <row r="627" customFormat="false" ht="14.25" hidden="false" customHeight="false" outlineLevel="0" collapsed="false">
      <c r="A627" s="24" t="n">
        <v>110721</v>
      </c>
      <c r="B627" s="32" t="s">
        <v>797</v>
      </c>
    </row>
    <row r="628" customFormat="false" ht="14.25" hidden="false" customHeight="false" outlineLevel="0" collapsed="false">
      <c r="A628" s="24" t="n">
        <v>110722</v>
      </c>
      <c r="B628" s="32" t="s">
        <v>798</v>
      </c>
    </row>
    <row r="629" customFormat="false" ht="14.25" hidden="false" customHeight="false" outlineLevel="0" collapsed="false">
      <c r="A629" s="24" t="n">
        <v>110723</v>
      </c>
      <c r="B629" s="32" t="s">
        <v>799</v>
      </c>
    </row>
    <row r="630" customFormat="false" ht="14.25" hidden="false" customHeight="false" outlineLevel="0" collapsed="false">
      <c r="A630" s="24" t="n">
        <v>110730</v>
      </c>
      <c r="B630" s="32" t="s">
        <v>800</v>
      </c>
    </row>
    <row r="631" customFormat="false" ht="14.25" hidden="false" customHeight="false" outlineLevel="0" collapsed="false">
      <c r="A631" s="24" t="n">
        <v>110731</v>
      </c>
      <c r="B631" s="32" t="s">
        <v>801</v>
      </c>
    </row>
    <row r="632" customFormat="false" ht="14.25" hidden="false" customHeight="false" outlineLevel="0" collapsed="false">
      <c r="A632" s="24" t="n">
        <v>110732</v>
      </c>
      <c r="B632" s="32" t="s">
        <v>802</v>
      </c>
    </row>
    <row r="633" customFormat="false" ht="14.25" hidden="false" customHeight="false" outlineLevel="0" collapsed="false">
      <c r="A633" s="24" t="n">
        <v>110733</v>
      </c>
      <c r="B633" s="32" t="s">
        <v>803</v>
      </c>
    </row>
    <row r="634" customFormat="false" ht="14.25" hidden="false" customHeight="false" outlineLevel="0" collapsed="false">
      <c r="A634" s="24" t="n">
        <v>110734</v>
      </c>
      <c r="B634" s="32" t="s">
        <v>804</v>
      </c>
    </row>
    <row r="635" customFormat="false" ht="14.25" hidden="false" customHeight="false" outlineLevel="0" collapsed="false">
      <c r="A635" s="24" t="n">
        <v>110740</v>
      </c>
      <c r="B635" s="32" t="s">
        <v>805</v>
      </c>
    </row>
    <row r="636" customFormat="false" ht="14.25" hidden="false" customHeight="false" outlineLevel="0" collapsed="false">
      <c r="A636" s="24" t="n">
        <v>110741</v>
      </c>
      <c r="B636" s="32" t="s">
        <v>806</v>
      </c>
    </row>
    <row r="637" customFormat="false" ht="14.25" hidden="false" customHeight="false" outlineLevel="0" collapsed="false">
      <c r="A637" s="24" t="n">
        <v>110742</v>
      </c>
      <c r="B637" s="32" t="s">
        <v>807</v>
      </c>
    </row>
    <row r="638" customFormat="false" ht="14.25" hidden="false" customHeight="false" outlineLevel="0" collapsed="false">
      <c r="A638" s="24" t="n">
        <v>110743</v>
      </c>
      <c r="B638" s="32" t="s">
        <v>808</v>
      </c>
    </row>
    <row r="639" customFormat="false" ht="14.25" hidden="false" customHeight="false" outlineLevel="0" collapsed="false">
      <c r="A639" s="24" t="n">
        <v>110744</v>
      </c>
      <c r="B639" s="32" t="s">
        <v>809</v>
      </c>
    </row>
    <row r="640" customFormat="false" ht="14.25" hidden="false" customHeight="false" outlineLevel="0" collapsed="false">
      <c r="A640" s="24" t="n">
        <v>110745</v>
      </c>
      <c r="B640" s="32" t="s">
        <v>810</v>
      </c>
    </row>
    <row r="641" customFormat="false" ht="14.25" hidden="false" customHeight="false" outlineLevel="0" collapsed="false">
      <c r="A641" s="24" t="n">
        <v>110749</v>
      </c>
      <c r="B641" s="32" t="s">
        <v>811</v>
      </c>
    </row>
    <row r="642" customFormat="false" ht="14.25" hidden="false" customHeight="false" outlineLevel="0" collapsed="false">
      <c r="A642" s="24" t="n">
        <v>110750</v>
      </c>
      <c r="B642" s="32" t="s">
        <v>812</v>
      </c>
    </row>
    <row r="643" customFormat="false" ht="14.25" hidden="false" customHeight="false" outlineLevel="0" collapsed="false">
      <c r="A643" s="24" t="n">
        <v>110760</v>
      </c>
      <c r="B643" s="32" t="s">
        <v>813</v>
      </c>
    </row>
    <row r="644" customFormat="false" ht="14.25" hidden="false" customHeight="false" outlineLevel="0" collapsed="false">
      <c r="A644" s="24" t="n">
        <v>110770</v>
      </c>
      <c r="B644" s="32" t="s">
        <v>814</v>
      </c>
    </row>
    <row r="645" customFormat="false" ht="14.25" hidden="false" customHeight="false" outlineLevel="0" collapsed="false">
      <c r="A645" s="24" t="n">
        <v>110780</v>
      </c>
      <c r="B645" s="32" t="s">
        <v>815</v>
      </c>
    </row>
    <row r="646" customFormat="false" ht="14.25" hidden="false" customHeight="false" outlineLevel="0" collapsed="false">
      <c r="A646" s="24" t="n">
        <v>110790</v>
      </c>
      <c r="B646" s="32" t="s">
        <v>816</v>
      </c>
    </row>
    <row r="647" customFormat="false" ht="14.25" hidden="false" customHeight="false" outlineLevel="0" collapsed="false">
      <c r="A647" s="24" t="n">
        <v>110800</v>
      </c>
      <c r="B647" s="32" t="s">
        <v>817</v>
      </c>
    </row>
    <row r="648" customFormat="false" ht="14.25" hidden="false" customHeight="false" outlineLevel="0" collapsed="false">
      <c r="A648" s="24" t="n">
        <v>110810</v>
      </c>
      <c r="B648" s="32" t="s">
        <v>818</v>
      </c>
    </row>
    <row r="649" customFormat="false" ht="14.25" hidden="false" customHeight="false" outlineLevel="0" collapsed="false">
      <c r="A649" s="24" t="n">
        <v>110820</v>
      </c>
      <c r="B649" s="32" t="s">
        <v>819</v>
      </c>
    </row>
    <row r="650" customFormat="false" ht="14.25" hidden="false" customHeight="false" outlineLevel="0" collapsed="false">
      <c r="A650" s="24" t="n">
        <v>110821</v>
      </c>
      <c r="B650" s="32" t="s">
        <v>820</v>
      </c>
    </row>
    <row r="651" customFormat="false" ht="14.25" hidden="false" customHeight="false" outlineLevel="0" collapsed="false">
      <c r="A651" s="24" t="n">
        <v>110870</v>
      </c>
      <c r="B651" s="32" t="s">
        <v>821</v>
      </c>
    </row>
    <row r="652" customFormat="false" ht="14.25" hidden="false" customHeight="false" outlineLevel="0" collapsed="false">
      <c r="A652" s="24" t="n">
        <v>110880</v>
      </c>
      <c r="B652" s="32" t="s">
        <v>822</v>
      </c>
    </row>
    <row r="653" customFormat="false" ht="14.25" hidden="false" customHeight="false" outlineLevel="0" collapsed="false">
      <c r="A653" s="24" t="n">
        <v>110890</v>
      </c>
      <c r="B653" s="32" t="s">
        <v>823</v>
      </c>
    </row>
    <row r="654" customFormat="false" ht="16.4" hidden="false" customHeight="false" outlineLevel="0" collapsed="false">
      <c r="A654" s="24" t="n">
        <v>110900</v>
      </c>
      <c r="B654" s="32" t="s">
        <v>824</v>
      </c>
    </row>
    <row r="655" customFormat="false" ht="14.25" hidden="false" customHeight="false" outlineLevel="0" collapsed="false">
      <c r="A655" s="24" t="n">
        <v>121100</v>
      </c>
      <c r="B655" s="32" t="s">
        <v>825</v>
      </c>
    </row>
    <row r="656" customFormat="false" ht="14.25" hidden="false" customHeight="false" outlineLevel="0" collapsed="false">
      <c r="A656" s="24" t="n">
        <v>121260</v>
      </c>
      <c r="B656" s="32" t="s">
        <v>826</v>
      </c>
    </row>
    <row r="657" customFormat="false" ht="14.25" hidden="false" customHeight="false" outlineLevel="0" collapsed="false">
      <c r="A657" s="24" t="n">
        <v>121261</v>
      </c>
      <c r="B657" s="32" t="s">
        <v>827</v>
      </c>
    </row>
    <row r="658" customFormat="false" ht="14.25" hidden="false" customHeight="false" outlineLevel="0" collapsed="false">
      <c r="A658" s="24" t="n">
        <v>121262</v>
      </c>
      <c r="B658" s="32" t="s">
        <v>828</v>
      </c>
    </row>
    <row r="659" customFormat="false" ht="14.25" hidden="false" customHeight="false" outlineLevel="0" collapsed="false">
      <c r="A659" s="24" t="n">
        <v>121263</v>
      </c>
      <c r="B659" s="32" t="s">
        <v>829</v>
      </c>
    </row>
    <row r="660" customFormat="false" ht="14.25" hidden="false" customHeight="false" outlineLevel="0" collapsed="false">
      <c r="A660" s="24" t="n">
        <v>122100</v>
      </c>
      <c r="B660" s="32" t="s">
        <v>830</v>
      </c>
    </row>
    <row r="661" customFormat="false" ht="14.25" hidden="false" customHeight="false" outlineLevel="0" collapsed="false">
      <c r="A661" s="24" t="n">
        <v>122110</v>
      </c>
      <c r="B661" s="32" t="s">
        <v>831</v>
      </c>
    </row>
    <row r="662" customFormat="false" ht="14.25" hidden="false" customHeight="false" outlineLevel="0" collapsed="false">
      <c r="A662" s="24" t="n">
        <v>122200</v>
      </c>
      <c r="B662" s="32" t="s">
        <v>832</v>
      </c>
    </row>
    <row r="663" customFormat="false" ht="14.25" hidden="false" customHeight="false" outlineLevel="0" collapsed="false">
      <c r="A663" s="24" t="n">
        <v>122300</v>
      </c>
      <c r="B663" s="32" t="s">
        <v>833</v>
      </c>
    </row>
    <row r="664" customFormat="false" ht="14.25" hidden="false" customHeight="false" outlineLevel="0" collapsed="false">
      <c r="A664" s="24" t="n">
        <v>122400</v>
      </c>
      <c r="B664" s="32" t="s">
        <v>834</v>
      </c>
    </row>
    <row r="665" customFormat="false" ht="14.25" hidden="false" customHeight="false" outlineLevel="0" collapsed="false">
      <c r="A665" s="24" t="n">
        <v>123100</v>
      </c>
      <c r="B665" s="32" t="s">
        <v>835</v>
      </c>
    </row>
    <row r="666" customFormat="false" ht="14.25" hidden="false" customHeight="false" outlineLevel="0" collapsed="false">
      <c r="A666" s="24" t="n">
        <v>129200</v>
      </c>
      <c r="B666" s="32" t="s">
        <v>836</v>
      </c>
    </row>
    <row r="667" customFormat="false" ht="16.4" hidden="false" customHeight="false" outlineLevel="0" collapsed="false">
      <c r="A667" s="24" t="n">
        <v>129300</v>
      </c>
      <c r="B667" s="32" t="s">
        <v>837</v>
      </c>
    </row>
    <row r="668" customFormat="false" ht="16.4" hidden="false" customHeight="false" outlineLevel="0" collapsed="false">
      <c r="A668" s="24" t="n">
        <v>129400</v>
      </c>
      <c r="B668" s="32" t="s">
        <v>838</v>
      </c>
    </row>
    <row r="669" customFormat="false" ht="14.25" hidden="false" customHeight="false" outlineLevel="0" collapsed="false">
      <c r="A669" s="24" t="n">
        <v>129500</v>
      </c>
      <c r="B669" s="32" t="s">
        <v>839</v>
      </c>
    </row>
    <row r="670" customFormat="false" ht="14.25" hidden="false" customHeight="false" outlineLevel="0" collapsed="false">
      <c r="A670" s="24" t="n">
        <v>129600</v>
      </c>
      <c r="B670" s="32" t="s">
        <v>840</v>
      </c>
    </row>
    <row r="671" customFormat="false" ht="14.25" hidden="false" customHeight="false" outlineLevel="0" collapsed="false">
      <c r="A671" s="24" t="n">
        <v>129900</v>
      </c>
      <c r="B671" s="32" t="s">
        <v>841</v>
      </c>
    </row>
    <row r="672" customFormat="false" ht="14.25" hidden="false" customHeight="false" outlineLevel="0" collapsed="false">
      <c r="A672" s="24" t="n">
        <v>131100</v>
      </c>
      <c r="B672" s="32" t="s">
        <v>842</v>
      </c>
    </row>
    <row r="673" customFormat="false" ht="14.25" hidden="false" customHeight="false" outlineLevel="0" collapsed="false">
      <c r="A673" s="24" t="n">
        <v>131150</v>
      </c>
      <c r="B673" s="32" t="s">
        <v>843</v>
      </c>
    </row>
    <row r="674" customFormat="false" ht="14.25" hidden="false" customHeight="false" outlineLevel="0" collapsed="false">
      <c r="A674" s="24" t="n">
        <v>131200</v>
      </c>
      <c r="B674" s="32" t="s">
        <v>844</v>
      </c>
    </row>
    <row r="675" customFormat="false" ht="14.25" hidden="false" customHeight="false" outlineLevel="0" collapsed="false">
      <c r="A675" s="24" t="n">
        <v>131250</v>
      </c>
      <c r="B675" s="32" t="s">
        <v>845</v>
      </c>
    </row>
    <row r="676" customFormat="false" ht="14.25" hidden="false" customHeight="false" outlineLevel="0" collapsed="false">
      <c r="A676" s="24" t="n">
        <v>131300</v>
      </c>
      <c r="B676" s="32" t="s">
        <v>846</v>
      </c>
    </row>
    <row r="677" customFormat="false" ht="14.25" hidden="false" customHeight="false" outlineLevel="0" collapsed="false">
      <c r="A677" s="24" t="n">
        <v>131350</v>
      </c>
      <c r="B677" s="32" t="s">
        <v>847</v>
      </c>
    </row>
    <row r="678" customFormat="false" ht="14.25" hidden="false" customHeight="false" outlineLevel="0" collapsed="false">
      <c r="A678" s="24" t="n">
        <v>131400</v>
      </c>
      <c r="B678" s="32" t="s">
        <v>848</v>
      </c>
    </row>
    <row r="679" customFormat="false" ht="14.25" hidden="false" customHeight="false" outlineLevel="0" collapsed="false">
      <c r="A679" s="24" t="n">
        <v>131450</v>
      </c>
      <c r="B679" s="32" t="s">
        <v>849</v>
      </c>
    </row>
    <row r="680" customFormat="false" ht="14.25" hidden="false" customHeight="false" outlineLevel="0" collapsed="false">
      <c r="A680" s="24" t="n">
        <v>131500</v>
      </c>
      <c r="B680" s="32" t="s">
        <v>850</v>
      </c>
    </row>
    <row r="681" customFormat="false" ht="14.25" hidden="false" customHeight="false" outlineLevel="0" collapsed="false">
      <c r="A681" s="24" t="n">
        <v>131550</v>
      </c>
      <c r="B681" s="32" t="s">
        <v>851</v>
      </c>
    </row>
    <row r="682" customFormat="false" ht="14.25" hidden="false" customHeight="false" outlineLevel="0" collapsed="false">
      <c r="A682" s="24" t="n">
        <v>131600</v>
      </c>
      <c r="B682" s="32" t="s">
        <v>852</v>
      </c>
    </row>
    <row r="683" customFormat="false" ht="14.25" hidden="false" customHeight="false" outlineLevel="0" collapsed="false">
      <c r="A683" s="24" t="n">
        <v>131650</v>
      </c>
      <c r="B683" s="32" t="s">
        <v>853</v>
      </c>
    </row>
    <row r="684" customFormat="false" ht="14.25" hidden="false" customHeight="false" outlineLevel="0" collapsed="false">
      <c r="A684" s="24" t="n">
        <v>131700</v>
      </c>
      <c r="B684" s="32" t="s">
        <v>854</v>
      </c>
    </row>
    <row r="685" customFormat="false" ht="14.25" hidden="false" customHeight="false" outlineLevel="0" collapsed="false">
      <c r="A685" s="24" t="n">
        <v>131710</v>
      </c>
      <c r="B685" s="32" t="s">
        <v>855</v>
      </c>
    </row>
    <row r="686" customFormat="false" ht="14.25" hidden="false" customHeight="false" outlineLevel="0" collapsed="false">
      <c r="A686" s="24" t="n">
        <v>131720</v>
      </c>
      <c r="B686" s="32" t="s">
        <v>856</v>
      </c>
    </row>
    <row r="687" customFormat="false" ht="14.25" hidden="false" customHeight="false" outlineLevel="0" collapsed="false">
      <c r="A687" s="24" t="n">
        <v>131730</v>
      </c>
      <c r="B687" s="32" t="s">
        <v>857</v>
      </c>
    </row>
    <row r="688" customFormat="false" ht="14.25" hidden="false" customHeight="false" outlineLevel="0" collapsed="false">
      <c r="A688" s="24" t="n">
        <v>131740</v>
      </c>
      <c r="B688" s="32" t="s">
        <v>858</v>
      </c>
    </row>
    <row r="689" customFormat="false" ht="14.25" hidden="false" customHeight="false" outlineLevel="0" collapsed="false">
      <c r="A689" s="24" t="n">
        <v>131900</v>
      </c>
      <c r="B689" s="32" t="s">
        <v>859</v>
      </c>
    </row>
    <row r="690" customFormat="false" ht="14.25" hidden="false" customHeight="false" outlineLevel="0" collapsed="false">
      <c r="A690" s="24" t="n">
        <v>131910</v>
      </c>
      <c r="B690" s="32" t="s">
        <v>860</v>
      </c>
    </row>
    <row r="691" customFormat="false" ht="14.25" hidden="false" customHeight="false" outlineLevel="0" collapsed="false">
      <c r="A691" s="24" t="n">
        <v>131920</v>
      </c>
      <c r="B691" s="32" t="s">
        <v>861</v>
      </c>
    </row>
    <row r="692" customFormat="false" ht="14.25" hidden="false" customHeight="false" outlineLevel="0" collapsed="false">
      <c r="A692" s="24" t="n">
        <v>131930</v>
      </c>
      <c r="B692" s="32" t="s">
        <v>862</v>
      </c>
    </row>
    <row r="693" customFormat="false" ht="14.25" hidden="false" customHeight="false" outlineLevel="0" collapsed="false">
      <c r="A693" s="24" t="n">
        <v>131940</v>
      </c>
      <c r="B693" s="32" t="s">
        <v>863</v>
      </c>
    </row>
    <row r="694" customFormat="false" ht="14.25" hidden="false" customHeight="false" outlineLevel="0" collapsed="false">
      <c r="A694" s="24" t="n">
        <v>132000</v>
      </c>
      <c r="B694" s="32" t="s">
        <v>864</v>
      </c>
    </row>
    <row r="695" customFormat="false" ht="14.25" hidden="false" customHeight="false" outlineLevel="0" collapsed="false">
      <c r="A695" s="24" t="n">
        <v>132100</v>
      </c>
      <c r="B695" s="32" t="s">
        <v>865</v>
      </c>
    </row>
    <row r="696" customFormat="false" ht="14.25" hidden="false" customHeight="false" outlineLevel="0" collapsed="false">
      <c r="A696" s="24" t="n">
        <v>132110</v>
      </c>
      <c r="B696" s="32" t="s">
        <v>866</v>
      </c>
    </row>
    <row r="697" customFormat="false" ht="14.25" hidden="false" customHeight="false" outlineLevel="0" collapsed="false">
      <c r="A697" s="24" t="n">
        <v>132120</v>
      </c>
      <c r="B697" s="32" t="s">
        <v>867</v>
      </c>
    </row>
    <row r="698" customFormat="false" ht="14.25" hidden="false" customHeight="false" outlineLevel="0" collapsed="false">
      <c r="A698" s="24" t="n">
        <v>132140</v>
      </c>
      <c r="B698" s="32" t="s">
        <v>868</v>
      </c>
    </row>
    <row r="699" customFormat="false" ht="14.25" hidden="false" customHeight="false" outlineLevel="0" collapsed="false">
      <c r="A699" s="24" t="n">
        <v>132150</v>
      </c>
      <c r="B699" s="32" t="s">
        <v>869</v>
      </c>
    </row>
    <row r="700" customFormat="false" ht="14.25" hidden="false" customHeight="false" outlineLevel="0" collapsed="false">
      <c r="A700" s="24" t="n">
        <v>132160</v>
      </c>
      <c r="B700" s="32" t="s">
        <v>870</v>
      </c>
    </row>
    <row r="701" customFormat="false" ht="14.25" hidden="false" customHeight="false" outlineLevel="0" collapsed="false">
      <c r="A701" s="24" t="n">
        <v>132200</v>
      </c>
      <c r="B701" s="32" t="s">
        <v>871</v>
      </c>
    </row>
    <row r="702" customFormat="false" ht="14.25" hidden="false" customHeight="false" outlineLevel="0" collapsed="false">
      <c r="A702" s="24" t="n">
        <v>132210</v>
      </c>
      <c r="B702" s="32" t="s">
        <v>872</v>
      </c>
    </row>
    <row r="703" customFormat="false" ht="14.25" hidden="false" customHeight="false" outlineLevel="0" collapsed="false">
      <c r="A703" s="24" t="n">
        <v>132220</v>
      </c>
      <c r="B703" s="32" t="s">
        <v>873</v>
      </c>
    </row>
    <row r="704" customFormat="false" ht="14.25" hidden="false" customHeight="false" outlineLevel="0" collapsed="false">
      <c r="A704" s="24" t="n">
        <v>132250</v>
      </c>
      <c r="B704" s="32" t="s">
        <v>874</v>
      </c>
    </row>
    <row r="705" customFormat="false" ht="14.25" hidden="false" customHeight="false" outlineLevel="0" collapsed="false">
      <c r="A705" s="24" t="n">
        <v>132260</v>
      </c>
      <c r="B705" s="32" t="s">
        <v>875</v>
      </c>
    </row>
    <row r="706" customFormat="false" ht="14.25" hidden="false" customHeight="false" outlineLevel="0" collapsed="false">
      <c r="A706" s="24" t="n">
        <v>132290</v>
      </c>
      <c r="B706" s="32" t="s">
        <v>876</v>
      </c>
    </row>
    <row r="707" customFormat="false" ht="14.25" hidden="false" customHeight="false" outlineLevel="0" collapsed="false">
      <c r="A707" s="24" t="n">
        <v>132300</v>
      </c>
      <c r="B707" s="32" t="s">
        <v>877</v>
      </c>
    </row>
    <row r="708" customFormat="false" ht="14.25" hidden="false" customHeight="false" outlineLevel="0" collapsed="false">
      <c r="A708" s="24" t="n">
        <v>132310</v>
      </c>
      <c r="B708" s="32" t="s">
        <v>878</v>
      </c>
    </row>
    <row r="709" customFormat="false" ht="14.25" hidden="false" customHeight="false" outlineLevel="0" collapsed="false">
      <c r="A709" s="24" t="n">
        <v>132320</v>
      </c>
      <c r="B709" s="32" t="s">
        <v>879</v>
      </c>
    </row>
    <row r="710" customFormat="false" ht="14.25" hidden="false" customHeight="false" outlineLevel="0" collapsed="false">
      <c r="A710" s="24" t="n">
        <v>132330</v>
      </c>
      <c r="B710" s="32" t="s">
        <v>880</v>
      </c>
    </row>
    <row r="711" customFormat="false" ht="14.25" hidden="false" customHeight="false" outlineLevel="0" collapsed="false">
      <c r="A711" s="24" t="n">
        <v>132340</v>
      </c>
      <c r="B711" s="32" t="s">
        <v>881</v>
      </c>
    </row>
    <row r="712" customFormat="false" ht="14.25" hidden="false" customHeight="false" outlineLevel="0" collapsed="false">
      <c r="A712" s="24" t="n">
        <v>132350</v>
      </c>
      <c r="B712" s="32" t="s">
        <v>882</v>
      </c>
    </row>
    <row r="713" customFormat="false" ht="14.25" hidden="false" customHeight="false" outlineLevel="0" collapsed="false">
      <c r="A713" s="24" t="n">
        <v>132400</v>
      </c>
      <c r="B713" s="32" t="s">
        <v>883</v>
      </c>
    </row>
    <row r="714" customFormat="false" ht="14.25" hidden="false" customHeight="false" outlineLevel="0" collapsed="false">
      <c r="A714" s="24" t="n">
        <v>132450</v>
      </c>
      <c r="B714" s="32" t="s">
        <v>884</v>
      </c>
    </row>
    <row r="715" customFormat="false" ht="14.25" hidden="false" customHeight="false" outlineLevel="0" collapsed="false">
      <c r="A715" s="24" t="n">
        <v>132500</v>
      </c>
      <c r="B715" s="32" t="s">
        <v>885</v>
      </c>
    </row>
    <row r="716" customFormat="false" ht="14.25" hidden="false" customHeight="false" outlineLevel="0" collapsed="false">
      <c r="A716" s="24" t="n">
        <v>132550</v>
      </c>
      <c r="B716" s="32" t="s">
        <v>886</v>
      </c>
    </row>
    <row r="717" customFormat="false" ht="14.25" hidden="false" customHeight="false" outlineLevel="0" collapsed="false">
      <c r="A717" s="24" t="n">
        <v>132560</v>
      </c>
      <c r="B717" s="32" t="s">
        <v>887</v>
      </c>
    </row>
    <row r="718" customFormat="false" ht="14.25" hidden="false" customHeight="false" outlineLevel="0" collapsed="false">
      <c r="A718" s="24" t="n">
        <v>132570</v>
      </c>
      <c r="B718" s="32" t="s">
        <v>888</v>
      </c>
    </row>
    <row r="719" customFormat="false" ht="14.25" hidden="false" customHeight="false" outlineLevel="0" collapsed="false">
      <c r="A719" s="24" t="n">
        <v>132600</v>
      </c>
      <c r="B719" s="32" t="s">
        <v>889</v>
      </c>
    </row>
    <row r="720" customFormat="false" ht="14.25" hidden="false" customHeight="false" outlineLevel="0" collapsed="false">
      <c r="A720" s="24" t="n">
        <v>132650</v>
      </c>
      <c r="B720" s="32" t="s">
        <v>890</v>
      </c>
    </row>
    <row r="721" customFormat="false" ht="16.4" hidden="false" customHeight="false" outlineLevel="0" collapsed="false">
      <c r="A721" s="24" t="n">
        <v>132900</v>
      </c>
      <c r="B721" s="32" t="s">
        <v>891</v>
      </c>
    </row>
    <row r="722" customFormat="false" ht="14.25" hidden="false" customHeight="false" outlineLevel="0" collapsed="false">
      <c r="A722" s="24" t="n">
        <v>133000</v>
      </c>
      <c r="B722" s="32" t="s">
        <v>892</v>
      </c>
    </row>
    <row r="723" customFormat="false" ht="16.4" hidden="false" customHeight="false" outlineLevel="0" collapsed="false">
      <c r="A723" s="24" t="n">
        <v>133100</v>
      </c>
      <c r="B723" s="32" t="s">
        <v>893</v>
      </c>
    </row>
    <row r="724" customFormat="false" ht="16.4" hidden="false" customHeight="false" outlineLevel="0" collapsed="false">
      <c r="A724" s="24" t="n">
        <v>134100</v>
      </c>
      <c r="B724" s="32" t="s">
        <v>894</v>
      </c>
    </row>
    <row r="725" customFormat="false" ht="14.25" hidden="false" customHeight="false" outlineLevel="0" collapsed="false">
      <c r="A725" s="24" t="n">
        <v>134200</v>
      </c>
      <c r="B725" s="32" t="s">
        <v>895</v>
      </c>
    </row>
    <row r="726" customFormat="false" ht="14.25" hidden="false" customHeight="false" outlineLevel="0" collapsed="false">
      <c r="A726" s="24" t="n">
        <v>135100</v>
      </c>
      <c r="B726" s="32" t="s">
        <v>896</v>
      </c>
    </row>
    <row r="727" customFormat="false" ht="14.25" hidden="false" customHeight="false" outlineLevel="0" collapsed="false">
      <c r="A727" s="24" t="n">
        <v>135200</v>
      </c>
      <c r="B727" s="32" t="s">
        <v>897</v>
      </c>
    </row>
    <row r="728" customFormat="false" ht="14.25" hidden="false" customHeight="false" outlineLevel="0" collapsed="false">
      <c r="A728" s="24" t="n">
        <v>136100</v>
      </c>
      <c r="B728" s="32" t="s">
        <v>898</v>
      </c>
    </row>
    <row r="729" customFormat="false" ht="14.25" hidden="false" customHeight="false" outlineLevel="0" collapsed="false">
      <c r="A729" s="24" t="n">
        <v>137200</v>
      </c>
      <c r="B729" s="32" t="s">
        <v>899</v>
      </c>
    </row>
    <row r="730" customFormat="false" ht="14.25" hidden="false" customHeight="false" outlineLevel="0" collapsed="false">
      <c r="A730" s="24" t="n">
        <v>137400</v>
      </c>
      <c r="B730" s="32" t="s">
        <v>900</v>
      </c>
    </row>
    <row r="731" customFormat="false" ht="14.25" hidden="false" customHeight="false" outlineLevel="0" collapsed="false">
      <c r="A731" s="24" t="n">
        <v>139100</v>
      </c>
      <c r="B731" s="32" t="s">
        <v>901</v>
      </c>
    </row>
    <row r="732" customFormat="false" ht="14.25" hidden="false" customHeight="false" outlineLevel="0" collapsed="false">
      <c r="A732" s="24" t="n">
        <v>139110</v>
      </c>
      <c r="B732" s="32" t="s">
        <v>902</v>
      </c>
    </row>
    <row r="733" customFormat="false" ht="14.25" hidden="false" customHeight="false" outlineLevel="0" collapsed="false">
      <c r="A733" s="24" t="n">
        <v>139200</v>
      </c>
      <c r="B733" s="32" t="s">
        <v>903</v>
      </c>
    </row>
    <row r="734" customFormat="false" ht="14.25" hidden="false" customHeight="false" outlineLevel="0" collapsed="false">
      <c r="A734" s="24" t="n">
        <v>139300</v>
      </c>
      <c r="B734" s="32" t="s">
        <v>904</v>
      </c>
    </row>
    <row r="735" customFormat="false" ht="14.25" hidden="false" customHeight="false" outlineLevel="0" collapsed="false">
      <c r="A735" s="24" t="n">
        <v>139400</v>
      </c>
      <c r="B735" s="32" t="s">
        <v>905</v>
      </c>
    </row>
    <row r="736" customFormat="false" ht="14.25" hidden="false" customHeight="false" outlineLevel="0" collapsed="false">
      <c r="A736" s="24" t="n">
        <v>139410</v>
      </c>
      <c r="B736" s="32" t="s">
        <v>906</v>
      </c>
    </row>
    <row r="737" customFormat="false" ht="14.25" hidden="false" customHeight="false" outlineLevel="0" collapsed="false">
      <c r="A737" s="24" t="n">
        <v>139500</v>
      </c>
      <c r="B737" s="32" t="s">
        <v>907</v>
      </c>
    </row>
    <row r="738" customFormat="false" ht="14.25" hidden="false" customHeight="false" outlineLevel="0" collapsed="false">
      <c r="A738" s="24" t="n">
        <v>139510</v>
      </c>
      <c r="B738" s="32" t="s">
        <v>908</v>
      </c>
    </row>
    <row r="739" customFormat="false" ht="14.25" hidden="false" customHeight="false" outlineLevel="0" collapsed="false">
      <c r="A739" s="24" t="n">
        <v>139600</v>
      </c>
      <c r="B739" s="32" t="s">
        <v>909</v>
      </c>
    </row>
    <row r="740" customFormat="false" ht="14.25" hidden="false" customHeight="false" outlineLevel="0" collapsed="false">
      <c r="A740" s="24" t="n">
        <v>139700</v>
      </c>
      <c r="B740" s="32" t="s">
        <v>910</v>
      </c>
    </row>
    <row r="741" customFormat="false" ht="14.25" hidden="false" customHeight="false" outlineLevel="0" collapsed="false">
      <c r="A741" s="24" t="n">
        <v>139800</v>
      </c>
      <c r="B741" s="32" t="s">
        <v>911</v>
      </c>
    </row>
    <row r="742" customFormat="false" ht="14.25" hidden="false" customHeight="false" outlineLevel="0" collapsed="false">
      <c r="A742" s="24" t="n">
        <v>139900</v>
      </c>
      <c r="B742" s="32" t="s">
        <v>912</v>
      </c>
    </row>
    <row r="743" customFormat="false" ht="14.25" hidden="false" customHeight="false" outlineLevel="0" collapsed="false">
      <c r="A743" s="24" t="n">
        <v>141200</v>
      </c>
      <c r="B743" s="32" t="s">
        <v>913</v>
      </c>
    </row>
    <row r="744" customFormat="false" ht="14.25" hidden="false" customHeight="false" outlineLevel="0" collapsed="false">
      <c r="A744" s="24" t="n">
        <v>141300</v>
      </c>
      <c r="B744" s="32" t="s">
        <v>914</v>
      </c>
    </row>
    <row r="745" customFormat="false" ht="14.25" hidden="false" customHeight="false" outlineLevel="0" collapsed="false">
      <c r="A745" s="24" t="n">
        <v>141400</v>
      </c>
      <c r="B745" s="32" t="s">
        <v>915</v>
      </c>
    </row>
    <row r="746" customFormat="false" ht="14.25" hidden="false" customHeight="false" outlineLevel="0" collapsed="false">
      <c r="A746" s="24" t="n">
        <v>141500</v>
      </c>
      <c r="B746" s="32" t="s">
        <v>916</v>
      </c>
    </row>
    <row r="747" customFormat="false" ht="14.25" hidden="false" customHeight="false" outlineLevel="0" collapsed="false">
      <c r="A747" s="24" t="n">
        <v>141600</v>
      </c>
      <c r="B747" s="32" t="s">
        <v>917</v>
      </c>
    </row>
    <row r="748" customFormat="false" ht="14.25" hidden="false" customHeight="false" outlineLevel="0" collapsed="false">
      <c r="A748" s="24" t="n">
        <v>141800</v>
      </c>
      <c r="B748" s="32" t="s">
        <v>918</v>
      </c>
    </row>
    <row r="749" customFormat="false" ht="16.4" hidden="false" customHeight="false" outlineLevel="0" collapsed="false">
      <c r="A749" s="24" t="n">
        <v>141900</v>
      </c>
      <c r="B749" s="32" t="s">
        <v>919</v>
      </c>
    </row>
    <row r="750" customFormat="false" ht="14.25" hidden="false" customHeight="false" outlineLevel="0" collapsed="false">
      <c r="A750" s="24" t="n">
        <v>142200</v>
      </c>
      <c r="B750" s="32" t="s">
        <v>920</v>
      </c>
    </row>
    <row r="751" customFormat="false" ht="14.25" hidden="false" customHeight="false" outlineLevel="0" collapsed="false">
      <c r="A751" s="24" t="n">
        <v>142300</v>
      </c>
      <c r="B751" s="32" t="s">
        <v>921</v>
      </c>
    </row>
    <row r="752" customFormat="false" ht="14.25" hidden="false" customHeight="false" outlineLevel="0" collapsed="false">
      <c r="A752" s="24" t="n">
        <v>142400</v>
      </c>
      <c r="B752" s="32" t="s">
        <v>922</v>
      </c>
    </row>
    <row r="753" customFormat="false" ht="16.4" hidden="false" customHeight="false" outlineLevel="0" collapsed="false">
      <c r="A753" s="24" t="n">
        <v>142900</v>
      </c>
      <c r="B753" s="33" t="s">
        <v>923</v>
      </c>
    </row>
    <row r="754" customFormat="false" ht="14.25" hidden="false" customHeight="false" outlineLevel="0" collapsed="false">
      <c r="A754" s="24" t="n">
        <v>143100</v>
      </c>
      <c r="B754" s="32" t="s">
        <v>924</v>
      </c>
    </row>
    <row r="755" customFormat="false" ht="14.25" hidden="false" customHeight="false" outlineLevel="0" collapsed="false">
      <c r="A755" s="24" t="n">
        <v>149100</v>
      </c>
      <c r="B755" s="32" t="s">
        <v>925</v>
      </c>
    </row>
    <row r="756" customFormat="false" ht="14.25" hidden="false" customHeight="false" outlineLevel="0" collapsed="false">
      <c r="A756" s="24" t="n">
        <v>151200</v>
      </c>
      <c r="B756" s="32" t="s">
        <v>926</v>
      </c>
    </row>
    <row r="757" customFormat="false" ht="14.25" hidden="false" customHeight="false" outlineLevel="0" collapsed="false">
      <c r="A757" s="24" t="n">
        <v>151400</v>
      </c>
      <c r="B757" s="32" t="s">
        <v>927</v>
      </c>
    </row>
    <row r="758" customFormat="false" ht="14.25" hidden="false" customHeight="false" outlineLevel="0" collapsed="false">
      <c r="A758" s="24" t="n">
        <v>153000</v>
      </c>
      <c r="B758" s="32" t="s">
        <v>928</v>
      </c>
    </row>
    <row r="759" customFormat="false" ht="14.25" hidden="false" customHeight="false" outlineLevel="0" collapsed="false">
      <c r="A759" s="24" t="n">
        <v>157000</v>
      </c>
      <c r="B759" s="32" t="s">
        <v>929</v>
      </c>
    </row>
    <row r="760" customFormat="false" ht="14.25" hidden="false" customHeight="false" outlineLevel="0" collapsed="false">
      <c r="A760" s="24" t="n">
        <v>157100</v>
      </c>
      <c r="B760" s="32" t="s">
        <v>930</v>
      </c>
    </row>
    <row r="761" customFormat="false" ht="14.25" hidden="false" customHeight="false" outlineLevel="0" collapsed="false">
      <c r="A761" s="24" t="n">
        <v>157200</v>
      </c>
      <c r="B761" s="32" t="s">
        <v>931</v>
      </c>
    </row>
    <row r="762" customFormat="false" ht="14.25" hidden="false" customHeight="false" outlineLevel="0" collapsed="false">
      <c r="A762" s="24" t="n">
        <v>157300</v>
      </c>
      <c r="B762" s="32" t="s">
        <v>932</v>
      </c>
    </row>
    <row r="763" customFormat="false" ht="14.25" hidden="false" customHeight="false" outlineLevel="0" collapsed="false">
      <c r="A763" s="24" t="n">
        <v>157400</v>
      </c>
      <c r="B763" s="32" t="s">
        <v>933</v>
      </c>
    </row>
    <row r="764" customFormat="false" ht="14.25" hidden="false" customHeight="false" outlineLevel="0" collapsed="false">
      <c r="A764" s="24" t="n">
        <v>157600</v>
      </c>
      <c r="B764" s="32" t="s">
        <v>934</v>
      </c>
    </row>
    <row r="765" customFormat="false" ht="14.25" hidden="false" customHeight="false" outlineLevel="0" collapsed="false">
      <c r="A765" s="24" t="n">
        <v>157700</v>
      </c>
      <c r="B765" s="32" t="s">
        <v>935</v>
      </c>
    </row>
    <row r="766" customFormat="false" ht="14.25" hidden="false" customHeight="false" outlineLevel="0" collapsed="false">
      <c r="A766" s="24" t="n">
        <v>157800</v>
      </c>
      <c r="B766" s="32" t="s">
        <v>936</v>
      </c>
    </row>
    <row r="767" customFormat="false" ht="14.25" hidden="false" customHeight="false" outlineLevel="0" collapsed="false">
      <c r="A767" s="24" t="n">
        <v>157900</v>
      </c>
      <c r="B767" s="32" t="s">
        <v>937</v>
      </c>
    </row>
    <row r="768" customFormat="false" ht="16.4" hidden="false" customHeight="false" outlineLevel="0" collapsed="false">
      <c r="A768" s="24" t="n">
        <v>158000</v>
      </c>
      <c r="B768" s="33" t="s">
        <v>938</v>
      </c>
    </row>
    <row r="769" customFormat="false" ht="14.25" hidden="false" customHeight="false" outlineLevel="0" collapsed="false">
      <c r="A769" s="24" t="n">
        <v>158100</v>
      </c>
      <c r="B769" s="32" t="s">
        <v>939</v>
      </c>
    </row>
    <row r="770" customFormat="false" ht="14.25" hidden="false" customHeight="false" outlineLevel="0" collapsed="false">
      <c r="A770" s="24" t="n">
        <v>158200</v>
      </c>
      <c r="B770" s="32" t="s">
        <v>940</v>
      </c>
    </row>
    <row r="771" customFormat="false" ht="14.25" hidden="false" customHeight="false" outlineLevel="0" collapsed="false">
      <c r="A771" s="24" t="n">
        <v>158700</v>
      </c>
      <c r="B771" s="32" t="s">
        <v>941</v>
      </c>
    </row>
    <row r="772" customFormat="false" ht="14.25" hidden="false" customHeight="false" outlineLevel="0" collapsed="false">
      <c r="A772" s="24" t="n">
        <v>158800</v>
      </c>
      <c r="B772" s="32" t="s">
        <v>942</v>
      </c>
    </row>
    <row r="773" customFormat="false" ht="14.25" hidden="false" customHeight="false" outlineLevel="0" collapsed="false">
      <c r="A773" s="24" t="n">
        <v>158810</v>
      </c>
      <c r="B773" s="32" t="s">
        <v>943</v>
      </c>
    </row>
    <row r="774" customFormat="false" ht="14.25" hidden="false" customHeight="false" outlineLevel="0" collapsed="false">
      <c r="A774" s="24" t="n">
        <v>158900</v>
      </c>
      <c r="B774" s="32" t="s">
        <v>944</v>
      </c>
    </row>
    <row r="775" customFormat="false" ht="14.25" hidden="false" customHeight="false" outlineLevel="0" collapsed="false">
      <c r="A775" s="24" t="n">
        <v>159000</v>
      </c>
      <c r="B775" s="32" t="s">
        <v>945</v>
      </c>
    </row>
    <row r="776" customFormat="false" ht="16.4" hidden="false" customHeight="false" outlineLevel="0" collapsed="false">
      <c r="A776" s="24" t="n">
        <v>159100</v>
      </c>
      <c r="B776" s="32" t="s">
        <v>946</v>
      </c>
    </row>
    <row r="777" customFormat="false" ht="14.25" hidden="false" customHeight="false" outlineLevel="0" collapsed="false">
      <c r="A777" s="24" t="n">
        <v>159190</v>
      </c>
      <c r="B777" s="32" t="s">
        <v>947</v>
      </c>
    </row>
    <row r="778" customFormat="false" ht="14.25" hidden="false" customHeight="false" outlineLevel="0" collapsed="false">
      <c r="A778" s="24" t="n">
        <v>159200</v>
      </c>
      <c r="B778" s="32" t="s">
        <v>948</v>
      </c>
    </row>
    <row r="779" customFormat="false" ht="14.25" hidden="false" customHeight="false" outlineLevel="0" collapsed="false">
      <c r="A779" s="24" t="n">
        <v>159300</v>
      </c>
      <c r="B779" s="32" t="s">
        <v>949</v>
      </c>
    </row>
    <row r="780" customFormat="false" ht="14.25" hidden="false" customHeight="false" outlineLevel="0" collapsed="false">
      <c r="A780" s="24" t="n">
        <v>159310</v>
      </c>
      <c r="B780" s="32" t="s">
        <v>950</v>
      </c>
    </row>
    <row r="781" customFormat="false" ht="16.4" hidden="false" customHeight="false" outlineLevel="0" collapsed="false">
      <c r="A781" s="24" t="n">
        <v>159320</v>
      </c>
      <c r="B781" s="33" t="s">
        <v>951</v>
      </c>
    </row>
    <row r="782" customFormat="false" ht="14.25" hidden="false" customHeight="false" outlineLevel="0" collapsed="false">
      <c r="A782" s="24" t="n">
        <v>159400</v>
      </c>
      <c r="B782" s="32" t="s">
        <v>952</v>
      </c>
    </row>
    <row r="783" customFormat="false" ht="14.25" hidden="false" customHeight="false" outlineLevel="0" collapsed="false">
      <c r="A783" s="24" t="n">
        <v>159500</v>
      </c>
      <c r="B783" s="32" t="s">
        <v>953</v>
      </c>
    </row>
    <row r="784" customFormat="false" ht="14.25" hidden="false" customHeight="false" outlineLevel="0" collapsed="false">
      <c r="A784" s="24" t="n">
        <v>159600</v>
      </c>
      <c r="B784" s="32" t="s">
        <v>954</v>
      </c>
    </row>
    <row r="785" customFormat="false" ht="14.25" hidden="false" customHeight="false" outlineLevel="0" collapsed="false">
      <c r="A785" s="24" t="n">
        <v>159700</v>
      </c>
      <c r="B785" s="32" t="s">
        <v>955</v>
      </c>
    </row>
    <row r="786" customFormat="false" ht="14.25" hidden="false" customHeight="false" outlineLevel="0" collapsed="false">
      <c r="A786" s="24" t="n">
        <v>159800</v>
      </c>
      <c r="B786" s="32" t="s">
        <v>956</v>
      </c>
    </row>
    <row r="787" customFormat="false" ht="14.25" hidden="false" customHeight="false" outlineLevel="0" collapsed="false">
      <c r="A787" s="24" t="n">
        <v>159900</v>
      </c>
      <c r="B787" s="32" t="s">
        <v>957</v>
      </c>
    </row>
    <row r="788" customFormat="false" ht="14.25" hidden="false" customHeight="false" outlineLevel="0" collapsed="false">
      <c r="A788" s="24" t="n">
        <v>161200</v>
      </c>
      <c r="B788" s="32" t="s">
        <v>958</v>
      </c>
    </row>
    <row r="789" customFormat="false" ht="14.25" hidden="false" customHeight="false" outlineLevel="0" collapsed="false">
      <c r="A789" s="24" t="n">
        <v>161300</v>
      </c>
      <c r="B789" s="32" t="s">
        <v>959</v>
      </c>
    </row>
    <row r="790" customFormat="false" ht="14.25" hidden="false" customHeight="false" outlineLevel="0" collapsed="false">
      <c r="A790" s="24" t="n">
        <v>161400</v>
      </c>
      <c r="B790" s="32" t="s">
        <v>960</v>
      </c>
    </row>
    <row r="791" customFormat="false" ht="14.25" hidden="false" customHeight="false" outlineLevel="0" collapsed="false">
      <c r="A791" s="24" t="n">
        <v>161410</v>
      </c>
      <c r="B791" s="32" t="s">
        <v>961</v>
      </c>
    </row>
    <row r="792" customFormat="false" ht="16.4" hidden="false" customHeight="false" outlineLevel="0" collapsed="false">
      <c r="A792" s="24" t="n">
        <v>161500</v>
      </c>
      <c r="B792" s="32" t="s">
        <v>962</v>
      </c>
    </row>
    <row r="793" customFormat="false" ht="14.25" hidden="false" customHeight="false" outlineLevel="0" collapsed="false">
      <c r="A793" s="24" t="n">
        <v>161600</v>
      </c>
      <c r="B793" s="32" t="s">
        <v>963</v>
      </c>
    </row>
    <row r="794" customFormat="false" ht="14.25" hidden="false" customHeight="false" outlineLevel="0" collapsed="false">
      <c r="A794" s="24" t="n">
        <v>161700</v>
      </c>
      <c r="B794" s="32" t="s">
        <v>964</v>
      </c>
    </row>
    <row r="795" customFormat="false" ht="14.25" hidden="false" customHeight="false" outlineLevel="0" collapsed="false">
      <c r="A795" s="24" t="n">
        <v>161900</v>
      </c>
      <c r="B795" s="32" t="s">
        <v>965</v>
      </c>
    </row>
    <row r="796" customFormat="false" ht="14.25" hidden="false" customHeight="false" outlineLevel="0" collapsed="false">
      <c r="A796" s="24" t="n">
        <v>162000</v>
      </c>
      <c r="B796" s="32" t="s">
        <v>966</v>
      </c>
    </row>
    <row r="797" customFormat="false" ht="14.25" hidden="false" customHeight="false" outlineLevel="0" collapsed="false">
      <c r="A797" s="24" t="n">
        <v>162100</v>
      </c>
      <c r="B797" s="32" t="s">
        <v>967</v>
      </c>
    </row>
    <row r="798" customFormat="false" ht="16.4" hidden="false" customHeight="false" outlineLevel="0" collapsed="false">
      <c r="A798" s="24" t="n">
        <v>162200</v>
      </c>
      <c r="B798" s="32" t="s">
        <v>968</v>
      </c>
    </row>
    <row r="799" customFormat="false" ht="14.25" hidden="false" customHeight="false" outlineLevel="0" collapsed="false">
      <c r="A799" s="24" t="n">
        <v>162300</v>
      </c>
      <c r="B799" s="32" t="s">
        <v>969</v>
      </c>
    </row>
    <row r="800" customFormat="false" ht="14.25" hidden="false" customHeight="false" outlineLevel="0" collapsed="false">
      <c r="A800" s="24" t="n">
        <v>162400</v>
      </c>
      <c r="B800" s="32" t="s">
        <v>970</v>
      </c>
    </row>
    <row r="801" customFormat="false" ht="14.25" hidden="false" customHeight="false" outlineLevel="0" collapsed="false">
      <c r="A801" s="24" t="n">
        <v>162500</v>
      </c>
      <c r="B801" s="32" t="s">
        <v>971</v>
      </c>
    </row>
    <row r="802" customFormat="false" ht="14.25" hidden="false" customHeight="false" outlineLevel="0" collapsed="false">
      <c r="A802" s="24" t="n">
        <v>162510</v>
      </c>
      <c r="B802" s="32" t="s">
        <v>972</v>
      </c>
    </row>
    <row r="803" customFormat="false" ht="14.25" hidden="false" customHeight="false" outlineLevel="0" collapsed="false">
      <c r="A803" s="24" t="n">
        <v>162580</v>
      </c>
      <c r="B803" s="32" t="s">
        <v>973</v>
      </c>
    </row>
    <row r="804" customFormat="false" ht="14.25" hidden="false" customHeight="false" outlineLevel="0" collapsed="false">
      <c r="A804" s="24" t="n">
        <v>162590</v>
      </c>
      <c r="B804" s="32" t="s">
        <v>974</v>
      </c>
    </row>
    <row r="805" customFormat="false" ht="14.25" hidden="false" customHeight="false" outlineLevel="0" collapsed="false">
      <c r="A805" s="24" t="n">
        <v>162600</v>
      </c>
      <c r="B805" s="32" t="s">
        <v>975</v>
      </c>
    </row>
    <row r="806" customFormat="false" ht="14.25" hidden="false" customHeight="false" outlineLevel="0" collapsed="false">
      <c r="A806" s="24" t="n">
        <v>162700</v>
      </c>
      <c r="B806" s="32" t="s">
        <v>976</v>
      </c>
    </row>
    <row r="807" customFormat="false" ht="14.25" hidden="false" customHeight="false" outlineLevel="0" collapsed="false">
      <c r="A807" s="24" t="n">
        <v>162710</v>
      </c>
      <c r="B807" s="32" t="s">
        <v>977</v>
      </c>
    </row>
    <row r="808" customFormat="false" ht="14.25" hidden="false" customHeight="false" outlineLevel="0" collapsed="false">
      <c r="A808" s="24" t="n">
        <v>162720</v>
      </c>
      <c r="B808" s="32" t="s">
        <v>978</v>
      </c>
    </row>
    <row r="809" customFormat="false" ht="14.25" hidden="false" customHeight="false" outlineLevel="0" collapsed="false">
      <c r="A809" s="24" t="n">
        <v>162730</v>
      </c>
      <c r="B809" s="32" t="s">
        <v>979</v>
      </c>
    </row>
    <row r="810" customFormat="false" ht="14.25" hidden="false" customHeight="false" outlineLevel="0" collapsed="false">
      <c r="A810" s="24" t="n">
        <v>162800</v>
      </c>
      <c r="B810" s="32" t="s">
        <v>980</v>
      </c>
    </row>
    <row r="811" customFormat="false" ht="14.25" hidden="false" customHeight="false" outlineLevel="0" collapsed="false">
      <c r="A811" s="24" t="n">
        <v>162900</v>
      </c>
      <c r="B811" s="32" t="s">
        <v>981</v>
      </c>
    </row>
    <row r="812" customFormat="false" ht="14.25" hidden="false" customHeight="false" outlineLevel="0" collapsed="false">
      <c r="A812" s="24" t="n">
        <v>163000</v>
      </c>
      <c r="B812" s="32" t="s">
        <v>982</v>
      </c>
    </row>
    <row r="813" customFormat="false" ht="14.25" hidden="false" customHeight="false" outlineLevel="0" collapsed="false">
      <c r="A813" s="24" t="n">
        <v>163100</v>
      </c>
      <c r="B813" s="32" t="s">
        <v>983</v>
      </c>
    </row>
    <row r="814" customFormat="false" ht="14.25" hidden="false" customHeight="false" outlineLevel="0" collapsed="false">
      <c r="A814" s="24" t="n">
        <v>163200</v>
      </c>
      <c r="B814" s="32" t="s">
        <v>984</v>
      </c>
    </row>
    <row r="815" customFormat="false" ht="16.4" hidden="false" customHeight="false" outlineLevel="0" collapsed="false">
      <c r="A815" s="24" t="n">
        <v>163300</v>
      </c>
      <c r="B815" s="32" t="s">
        <v>985</v>
      </c>
    </row>
    <row r="816" customFormat="false" ht="14.25" hidden="false" customHeight="false" outlineLevel="0" collapsed="false">
      <c r="A816" s="24" t="n">
        <v>163310</v>
      </c>
      <c r="B816" s="32" t="s">
        <v>986</v>
      </c>
    </row>
    <row r="817" customFormat="false" ht="14.25" hidden="false" customHeight="false" outlineLevel="0" collapsed="false">
      <c r="A817" s="24" t="n">
        <v>163400</v>
      </c>
      <c r="B817" s="32" t="s">
        <v>987</v>
      </c>
    </row>
    <row r="818" customFormat="false" ht="14.25" hidden="false" customHeight="false" outlineLevel="0" collapsed="false">
      <c r="A818" s="24" t="n">
        <v>163500</v>
      </c>
      <c r="B818" s="32" t="s">
        <v>988</v>
      </c>
    </row>
    <row r="819" customFormat="false" ht="14.25" hidden="false" customHeight="false" outlineLevel="0" collapsed="false">
      <c r="A819" s="24" t="n">
        <v>163600</v>
      </c>
      <c r="B819" s="32" t="s">
        <v>989</v>
      </c>
    </row>
    <row r="820" customFormat="false" ht="14.25" hidden="false" customHeight="false" outlineLevel="0" collapsed="false">
      <c r="A820" s="24" t="n">
        <v>163700</v>
      </c>
      <c r="B820" s="32" t="s">
        <v>990</v>
      </c>
    </row>
    <row r="821" customFormat="false" ht="16.4" hidden="false" customHeight="false" outlineLevel="0" collapsed="false">
      <c r="A821" s="24" t="n">
        <v>163900</v>
      </c>
      <c r="B821" s="32" t="s">
        <v>991</v>
      </c>
    </row>
    <row r="822" customFormat="false" ht="14.25" hidden="false" customHeight="false" outlineLevel="0" collapsed="false">
      <c r="A822" s="24" t="n">
        <v>170000</v>
      </c>
      <c r="B822" s="32" t="s">
        <v>992</v>
      </c>
    </row>
    <row r="823" customFormat="false" ht="14.25" hidden="false" customHeight="false" outlineLevel="0" collapsed="false">
      <c r="A823" s="24" t="n">
        <v>171200</v>
      </c>
      <c r="B823" s="32" t="s">
        <v>993</v>
      </c>
    </row>
    <row r="824" customFormat="false" ht="14.25" hidden="false" customHeight="false" outlineLevel="0" collapsed="false">
      <c r="A824" s="24" t="n">
        <v>171300</v>
      </c>
      <c r="B824" s="32" t="s">
        <v>994</v>
      </c>
    </row>
    <row r="825" customFormat="false" ht="14.25" hidden="false" customHeight="false" outlineLevel="0" collapsed="false">
      <c r="A825" s="24" t="n">
        <v>171400</v>
      </c>
      <c r="B825" s="32" t="s">
        <v>995</v>
      </c>
    </row>
    <row r="826" customFormat="false" ht="14.25" hidden="false" customHeight="false" outlineLevel="0" collapsed="false">
      <c r="A826" s="24" t="n">
        <v>171500</v>
      </c>
      <c r="B826" s="32" t="s">
        <v>996</v>
      </c>
    </row>
    <row r="827" customFormat="false" ht="14.25" hidden="false" customHeight="false" outlineLevel="0" collapsed="false">
      <c r="A827" s="24" t="n">
        <v>171600</v>
      </c>
      <c r="B827" s="32" t="s">
        <v>997</v>
      </c>
    </row>
    <row r="828" customFormat="false" ht="16.4" hidden="false" customHeight="false" outlineLevel="0" collapsed="false">
      <c r="A828" s="24" t="n">
        <v>171700</v>
      </c>
      <c r="B828" s="32" t="s">
        <v>998</v>
      </c>
    </row>
    <row r="829" customFormat="false" ht="16.4" hidden="false" customHeight="false" outlineLevel="0" collapsed="false">
      <c r="A829" s="24" t="n">
        <v>171800</v>
      </c>
      <c r="B829" s="32" t="s">
        <v>999</v>
      </c>
    </row>
    <row r="830" customFormat="false" ht="14.25" hidden="false" customHeight="false" outlineLevel="0" collapsed="false">
      <c r="A830" s="24" t="n">
        <v>171900</v>
      </c>
      <c r="B830" s="32" t="s">
        <v>1000</v>
      </c>
    </row>
    <row r="831" customFormat="false" ht="14.25" hidden="false" customHeight="false" outlineLevel="0" collapsed="false">
      <c r="A831" s="24" t="n">
        <v>172000</v>
      </c>
      <c r="B831" s="32" t="s">
        <v>1001</v>
      </c>
    </row>
    <row r="832" customFormat="false" ht="14.25" hidden="false" customHeight="false" outlineLevel="0" collapsed="false">
      <c r="A832" s="24" t="n">
        <v>172100</v>
      </c>
      <c r="B832" s="32" t="s">
        <v>1002</v>
      </c>
    </row>
    <row r="833" customFormat="false" ht="14.25" hidden="false" customHeight="false" outlineLevel="0" collapsed="false">
      <c r="A833" s="24" t="n">
        <v>172110</v>
      </c>
      <c r="B833" s="32" t="s">
        <v>1003</v>
      </c>
    </row>
    <row r="834" customFormat="false" ht="14.25" hidden="false" customHeight="false" outlineLevel="0" collapsed="false">
      <c r="A834" s="24" t="n">
        <v>172120</v>
      </c>
      <c r="B834" s="32" t="s">
        <v>1004</v>
      </c>
    </row>
    <row r="835" customFormat="false" ht="14.25" hidden="false" customHeight="false" outlineLevel="0" collapsed="false">
      <c r="A835" s="24" t="n">
        <v>172200</v>
      </c>
      <c r="B835" s="32" t="s">
        <v>1005</v>
      </c>
    </row>
    <row r="836" customFormat="false" ht="14.25" hidden="false" customHeight="false" outlineLevel="0" collapsed="false">
      <c r="A836" s="24" t="n">
        <v>172300</v>
      </c>
      <c r="B836" s="32" t="s">
        <v>1006</v>
      </c>
    </row>
    <row r="837" customFormat="false" ht="16.4" hidden="false" customHeight="false" outlineLevel="0" collapsed="false">
      <c r="A837" s="24" t="n">
        <v>172400</v>
      </c>
      <c r="B837" s="32" t="s">
        <v>1007</v>
      </c>
    </row>
    <row r="838" customFormat="false" ht="14.25" hidden="false" customHeight="false" outlineLevel="0" collapsed="false">
      <c r="A838" s="24" t="n">
        <v>173200</v>
      </c>
      <c r="B838" s="32" t="s">
        <v>1008</v>
      </c>
    </row>
    <row r="839" customFormat="false" ht="14.25" hidden="false" customHeight="false" outlineLevel="0" collapsed="false">
      <c r="A839" s="24" t="n">
        <v>173300</v>
      </c>
      <c r="B839" s="32" t="s">
        <v>1009</v>
      </c>
    </row>
    <row r="840" customFormat="false" ht="14.25" hidden="false" customHeight="false" outlineLevel="0" collapsed="false">
      <c r="A840" s="24" t="n">
        <v>173400</v>
      </c>
      <c r="B840" s="32" t="s">
        <v>1010</v>
      </c>
    </row>
    <row r="841" customFormat="false" ht="14.25" hidden="false" customHeight="false" outlineLevel="0" collapsed="false">
      <c r="A841" s="24" t="n">
        <v>173500</v>
      </c>
      <c r="B841" s="32" t="s">
        <v>1011</v>
      </c>
    </row>
    <row r="842" customFormat="false" ht="14.25" hidden="false" customHeight="false" outlineLevel="0" collapsed="false">
      <c r="A842" s="24" t="n">
        <v>173600</v>
      </c>
      <c r="B842" s="32" t="s">
        <v>1012</v>
      </c>
    </row>
    <row r="843" customFormat="false" ht="16.4" hidden="false" customHeight="false" outlineLevel="0" collapsed="false">
      <c r="A843" s="24" t="n">
        <v>173900</v>
      </c>
      <c r="B843" s="32" t="s">
        <v>1013</v>
      </c>
    </row>
    <row r="844" customFormat="false" ht="14.25" hidden="false" customHeight="false" outlineLevel="0" collapsed="false">
      <c r="A844" s="24" t="n">
        <v>174100</v>
      </c>
      <c r="B844" s="32" t="s">
        <v>1014</v>
      </c>
    </row>
    <row r="845" customFormat="false" ht="14.25" hidden="false" customHeight="false" outlineLevel="0" collapsed="false">
      <c r="A845" s="24" t="n">
        <v>174110</v>
      </c>
      <c r="B845" s="32" t="s">
        <v>1015</v>
      </c>
    </row>
    <row r="846" customFormat="false" ht="14.25" hidden="false" customHeight="false" outlineLevel="0" collapsed="false">
      <c r="A846" s="24" t="n">
        <v>174120</v>
      </c>
      <c r="B846" s="32" t="s">
        <v>1016</v>
      </c>
    </row>
    <row r="847" customFormat="false" ht="14.25" hidden="false" customHeight="false" outlineLevel="0" collapsed="false">
      <c r="A847" s="24" t="n">
        <v>174130</v>
      </c>
      <c r="B847" s="32" t="s">
        <v>1017</v>
      </c>
    </row>
    <row r="848" customFormat="false" ht="16.4" hidden="false" customHeight="false" outlineLevel="0" collapsed="false">
      <c r="A848" s="24" t="n">
        <v>174200</v>
      </c>
      <c r="B848" s="32" t="s">
        <v>1018</v>
      </c>
    </row>
    <row r="849" customFormat="false" ht="14.25" hidden="false" customHeight="false" outlineLevel="0" collapsed="false">
      <c r="A849" s="24" t="n">
        <v>174300</v>
      </c>
      <c r="B849" s="32" t="s">
        <v>1019</v>
      </c>
    </row>
    <row r="850" customFormat="false" ht="14.25" hidden="false" customHeight="false" outlineLevel="0" collapsed="false">
      <c r="A850" s="24" t="n">
        <v>174310</v>
      </c>
      <c r="B850" s="32" t="s">
        <v>1020</v>
      </c>
    </row>
    <row r="851" customFormat="false" ht="14.25" hidden="false" customHeight="false" outlineLevel="0" collapsed="false">
      <c r="A851" s="24" t="n">
        <v>174400</v>
      </c>
      <c r="B851" s="32" t="s">
        <v>1021</v>
      </c>
    </row>
    <row r="852" customFormat="false" ht="14.25" hidden="false" customHeight="false" outlineLevel="0" collapsed="false">
      <c r="A852" s="24" t="n">
        <v>174500</v>
      </c>
      <c r="B852" s="32" t="s">
        <v>1022</v>
      </c>
    </row>
    <row r="853" customFormat="false" ht="14.25" hidden="false" customHeight="false" outlineLevel="0" collapsed="false">
      <c r="A853" s="24" t="n">
        <v>174600</v>
      </c>
      <c r="B853" s="32" t="s">
        <v>1023</v>
      </c>
    </row>
    <row r="854" customFormat="false" ht="16.4" hidden="false" customHeight="false" outlineLevel="0" collapsed="false">
      <c r="A854" s="24" t="n">
        <v>174900</v>
      </c>
      <c r="B854" s="32" t="s">
        <v>1024</v>
      </c>
    </row>
    <row r="855" customFormat="false" ht="14.25" hidden="false" customHeight="false" outlineLevel="0" collapsed="false">
      <c r="A855" s="24" t="n">
        <v>175200</v>
      </c>
      <c r="B855" s="32" t="s">
        <v>1025</v>
      </c>
    </row>
    <row r="856" customFormat="false" ht="14.25" hidden="false" customHeight="false" outlineLevel="0" collapsed="false">
      <c r="A856" s="24" t="n">
        <v>175300</v>
      </c>
      <c r="B856" s="32" t="s">
        <v>1026</v>
      </c>
    </row>
    <row r="857" customFormat="false" ht="16.4" hidden="false" customHeight="false" outlineLevel="0" collapsed="false">
      <c r="A857" s="24" t="n">
        <v>175400</v>
      </c>
      <c r="B857" s="32" t="s">
        <v>1027</v>
      </c>
    </row>
    <row r="858" customFormat="false" ht="16.4" hidden="false" customHeight="false" outlineLevel="0" collapsed="false">
      <c r="A858" s="24" t="n">
        <v>175500</v>
      </c>
      <c r="B858" s="32" t="s">
        <v>1028</v>
      </c>
    </row>
    <row r="859" customFormat="false" ht="14.25" hidden="false" customHeight="false" outlineLevel="0" collapsed="false">
      <c r="A859" s="24" t="n">
        <v>175600</v>
      </c>
      <c r="B859" s="32" t="s">
        <v>1029</v>
      </c>
    </row>
    <row r="860" customFormat="false" ht="14.25" hidden="false" customHeight="false" outlineLevel="0" collapsed="false">
      <c r="A860" s="24" t="n">
        <v>175900</v>
      </c>
      <c r="B860" s="32" t="s">
        <v>1030</v>
      </c>
    </row>
    <row r="861" customFormat="false" ht="16.4" hidden="false" customHeight="false" outlineLevel="0" collapsed="false">
      <c r="A861" s="24" t="n">
        <v>179200</v>
      </c>
      <c r="B861" s="32" t="s">
        <v>1031</v>
      </c>
    </row>
    <row r="862" customFormat="false" ht="14.25" hidden="false" customHeight="false" outlineLevel="0" collapsed="false">
      <c r="A862" s="24" t="n">
        <v>179300</v>
      </c>
      <c r="B862" s="32" t="s">
        <v>1032</v>
      </c>
    </row>
    <row r="863" customFormat="false" ht="14.25" hidden="false" customHeight="false" outlineLevel="0" collapsed="false">
      <c r="A863" s="24" t="n">
        <v>179400</v>
      </c>
      <c r="B863" s="32" t="s">
        <v>1033</v>
      </c>
    </row>
    <row r="864" customFormat="false" ht="14.25" hidden="false" customHeight="false" outlineLevel="0" collapsed="false">
      <c r="A864" s="24" t="n">
        <v>179900</v>
      </c>
      <c r="B864" s="32" t="s">
        <v>1034</v>
      </c>
    </row>
    <row r="865" customFormat="false" ht="14.25" hidden="false" customHeight="false" outlineLevel="0" collapsed="false">
      <c r="A865" s="24" t="n">
        <v>180200</v>
      </c>
      <c r="B865" s="32" t="s">
        <v>1035</v>
      </c>
    </row>
    <row r="866" customFormat="false" ht="14.25" hidden="false" customHeight="false" outlineLevel="0" collapsed="false">
      <c r="A866" s="24" t="n">
        <v>180300</v>
      </c>
      <c r="B866" s="32" t="s">
        <v>1036</v>
      </c>
    </row>
    <row r="867" customFormat="false" ht="14.25" hidden="false" customHeight="false" outlineLevel="0" collapsed="false">
      <c r="A867" s="24" t="n">
        <v>180400</v>
      </c>
      <c r="B867" s="32" t="s">
        <v>1037</v>
      </c>
    </row>
    <row r="868" customFormat="false" ht="14.25" hidden="false" customHeight="false" outlineLevel="0" collapsed="false">
      <c r="A868" s="24" t="n">
        <v>180500</v>
      </c>
      <c r="B868" s="32" t="s">
        <v>1038</v>
      </c>
    </row>
    <row r="869" customFormat="false" ht="14.25" hidden="false" customHeight="false" outlineLevel="0" collapsed="false">
      <c r="A869" s="24" t="n">
        <v>180510</v>
      </c>
      <c r="B869" s="32" t="s">
        <v>1039</v>
      </c>
    </row>
    <row r="870" customFormat="false" ht="14.25" hidden="false" customHeight="false" outlineLevel="0" collapsed="false">
      <c r="A870" s="24" t="n">
        <v>180520</v>
      </c>
      <c r="B870" s="32" t="s">
        <v>1040</v>
      </c>
    </row>
    <row r="871" customFormat="false" ht="14.25" hidden="false" customHeight="false" outlineLevel="0" collapsed="false">
      <c r="A871" s="24" t="n">
        <v>180600</v>
      </c>
      <c r="B871" s="32" t="s">
        <v>1041</v>
      </c>
    </row>
    <row r="872" customFormat="false" ht="14.25" hidden="false" customHeight="false" outlineLevel="0" collapsed="false">
      <c r="A872" s="24" t="n">
        <v>180700</v>
      </c>
      <c r="B872" s="32" t="s">
        <v>1042</v>
      </c>
    </row>
    <row r="873" customFormat="false" ht="14.25" hidden="false" customHeight="false" outlineLevel="0" collapsed="false">
      <c r="A873" s="24" t="n">
        <v>180710</v>
      </c>
      <c r="B873" s="32" t="s">
        <v>1043</v>
      </c>
    </row>
    <row r="874" customFormat="false" ht="14.25" hidden="false" customHeight="false" outlineLevel="0" collapsed="false">
      <c r="A874" s="24" t="n">
        <v>180800</v>
      </c>
      <c r="B874" s="32" t="s">
        <v>1044</v>
      </c>
    </row>
    <row r="875" customFormat="false" ht="14.25" hidden="false" customHeight="false" outlineLevel="0" collapsed="false">
      <c r="A875" s="24" t="n">
        <v>180900</v>
      </c>
      <c r="B875" s="32" t="s">
        <v>1045</v>
      </c>
    </row>
    <row r="876" customFormat="false" ht="14.25" hidden="false" customHeight="false" outlineLevel="0" collapsed="false">
      <c r="A876" s="24" t="n">
        <v>191100</v>
      </c>
      <c r="B876" s="32" t="s">
        <v>1046</v>
      </c>
    </row>
    <row r="877" customFormat="false" ht="14.25" hidden="false" customHeight="false" outlineLevel="0" collapsed="false">
      <c r="A877" s="24" t="n">
        <v>191200</v>
      </c>
      <c r="B877" s="32" t="s">
        <v>1047</v>
      </c>
    </row>
    <row r="878" customFormat="false" ht="14.25" hidden="false" customHeight="false" outlineLevel="0" collapsed="false">
      <c r="A878" s="24" t="n">
        <v>191300</v>
      </c>
      <c r="B878" s="32" t="s">
        <v>1048</v>
      </c>
    </row>
    <row r="879" customFormat="false" ht="14.25" hidden="false" customHeight="false" outlineLevel="0" collapsed="false">
      <c r="A879" s="24" t="n">
        <v>191400</v>
      </c>
      <c r="B879" s="32" t="s">
        <v>1049</v>
      </c>
    </row>
    <row r="880" customFormat="false" ht="14.25" hidden="false" customHeight="false" outlineLevel="0" collapsed="false">
      <c r="A880" s="24" t="n">
        <v>191900</v>
      </c>
      <c r="B880" s="32" t="s">
        <v>1050</v>
      </c>
    </row>
    <row r="881" customFormat="false" ht="14.25" hidden="false" customHeight="false" outlineLevel="0" collapsed="false">
      <c r="A881" s="24" t="n">
        <v>192200</v>
      </c>
      <c r="B881" s="32" t="s">
        <v>1051</v>
      </c>
    </row>
    <row r="882" customFormat="false" ht="14.25" hidden="false" customHeight="false" outlineLevel="0" collapsed="false">
      <c r="A882" s="24" t="n">
        <v>192300</v>
      </c>
      <c r="B882" s="32" t="s">
        <v>1052</v>
      </c>
    </row>
    <row r="883" customFormat="false" ht="14.25" hidden="false" customHeight="false" outlineLevel="0" collapsed="false">
      <c r="A883" s="24" t="n">
        <v>192400</v>
      </c>
      <c r="B883" s="32" t="s">
        <v>1053</v>
      </c>
    </row>
    <row r="884" customFormat="false" ht="14.25" hidden="false" customHeight="false" outlineLevel="0" collapsed="false">
      <c r="A884" s="24" t="n">
        <v>192500</v>
      </c>
      <c r="B884" s="32" t="s">
        <v>1054</v>
      </c>
    </row>
    <row r="885" customFormat="false" ht="16.4" hidden="false" customHeight="false" outlineLevel="0" collapsed="false">
      <c r="A885" s="24" t="n">
        <v>192600</v>
      </c>
      <c r="B885" s="32" t="s">
        <v>1055</v>
      </c>
    </row>
    <row r="886" customFormat="false" ht="14.25" hidden="false" customHeight="false" outlineLevel="0" collapsed="false">
      <c r="A886" s="24" t="n">
        <v>192700</v>
      </c>
      <c r="B886" s="32" t="s">
        <v>1056</v>
      </c>
    </row>
    <row r="887" customFormat="false" ht="14.25" hidden="false" customHeight="false" outlineLevel="0" collapsed="false">
      <c r="A887" s="24" t="n">
        <v>192900</v>
      </c>
      <c r="B887" s="32" t="s">
        <v>1057</v>
      </c>
    </row>
    <row r="888" customFormat="false" ht="14.25" hidden="false" customHeight="false" outlineLevel="0" collapsed="false">
      <c r="A888" s="24" t="n">
        <v>193000</v>
      </c>
      <c r="B888" s="32" t="s">
        <v>1058</v>
      </c>
    </row>
    <row r="889" customFormat="false" ht="16.4" hidden="false" customHeight="false" outlineLevel="0" collapsed="false">
      <c r="A889" s="24" t="n">
        <v>193100</v>
      </c>
      <c r="B889" s="32" t="s">
        <v>1059</v>
      </c>
    </row>
    <row r="890" customFormat="false" ht="14.25" hidden="false" customHeight="false" outlineLevel="0" collapsed="false">
      <c r="A890" s="24" t="n">
        <v>193110</v>
      </c>
      <c r="B890" s="32" t="s">
        <v>1060</v>
      </c>
    </row>
    <row r="891" customFormat="false" ht="14.25" hidden="false" customHeight="false" outlineLevel="0" collapsed="false">
      <c r="A891" s="24" t="n">
        <v>193120</v>
      </c>
      <c r="B891" s="32" t="s">
        <v>1061</v>
      </c>
    </row>
    <row r="892" customFormat="false" ht="14.25" hidden="false" customHeight="false" outlineLevel="0" collapsed="false">
      <c r="A892" s="24" t="n">
        <v>193130</v>
      </c>
      <c r="B892" s="32" t="s">
        <v>1062</v>
      </c>
    </row>
    <row r="893" customFormat="false" ht="16.4" hidden="false" customHeight="false" outlineLevel="0" collapsed="false">
      <c r="A893" s="24" t="n">
        <v>193200</v>
      </c>
      <c r="B893" s="33" t="s">
        <v>1063</v>
      </c>
    </row>
    <row r="894" customFormat="false" ht="14.25" hidden="false" customHeight="false" outlineLevel="0" collapsed="false">
      <c r="A894" s="24" t="n">
        <v>193300</v>
      </c>
      <c r="B894" s="32" t="s">
        <v>1064</v>
      </c>
    </row>
    <row r="895" customFormat="false" ht="16.4" hidden="false" customHeight="false" outlineLevel="0" collapsed="false">
      <c r="A895" s="24" t="n">
        <v>193400</v>
      </c>
      <c r="B895" s="32" t="s">
        <v>1065</v>
      </c>
    </row>
    <row r="896" customFormat="false" ht="14.25" hidden="false" customHeight="false" outlineLevel="0" collapsed="false">
      <c r="A896" s="24" t="n">
        <v>193500</v>
      </c>
      <c r="B896" s="32" t="s">
        <v>1066</v>
      </c>
    </row>
    <row r="897" customFormat="false" ht="14.25" hidden="false" customHeight="false" outlineLevel="0" collapsed="false">
      <c r="A897" s="24" t="n">
        <v>193600</v>
      </c>
      <c r="B897" s="32" t="s">
        <v>1067</v>
      </c>
    </row>
    <row r="898" customFormat="false" ht="14.25" hidden="false" customHeight="false" outlineLevel="0" collapsed="false">
      <c r="A898" s="24" t="n">
        <v>193610</v>
      </c>
      <c r="B898" s="32" t="s">
        <v>1068</v>
      </c>
    </row>
    <row r="899" customFormat="false" ht="14.25" hidden="false" customHeight="false" outlineLevel="0" collapsed="false">
      <c r="A899" s="24" t="n">
        <v>193700</v>
      </c>
      <c r="B899" s="32" t="s">
        <v>1069</v>
      </c>
    </row>
    <row r="900" customFormat="false" ht="14.25" hidden="false" customHeight="false" outlineLevel="0" collapsed="false">
      <c r="A900" s="24" t="n">
        <v>193800</v>
      </c>
      <c r="B900" s="32" t="s">
        <v>1070</v>
      </c>
    </row>
    <row r="901" customFormat="false" ht="14.25" hidden="false" customHeight="false" outlineLevel="0" collapsed="false">
      <c r="A901" s="24" t="n">
        <v>193900</v>
      </c>
      <c r="B901" s="32" t="s">
        <v>1071</v>
      </c>
    </row>
    <row r="902" customFormat="false" ht="14.25" hidden="false" customHeight="false" outlineLevel="0" collapsed="false">
      <c r="A902" s="24" t="n">
        <v>194000</v>
      </c>
      <c r="B902" s="32" t="s">
        <v>1072</v>
      </c>
    </row>
    <row r="903" customFormat="false" ht="14.25" hidden="false" customHeight="false" outlineLevel="0" collapsed="false">
      <c r="A903" s="24" t="n">
        <v>194100</v>
      </c>
      <c r="B903" s="32" t="s">
        <v>1073</v>
      </c>
    </row>
    <row r="904" customFormat="false" ht="14.25" hidden="false" customHeight="false" outlineLevel="0" collapsed="false">
      <c r="A904" s="24" t="n">
        <v>194200</v>
      </c>
      <c r="B904" s="32" t="s">
        <v>1074</v>
      </c>
    </row>
    <row r="905" customFormat="false" ht="14.25" hidden="false" customHeight="false" outlineLevel="0" collapsed="false">
      <c r="A905" s="24" t="n">
        <v>194210</v>
      </c>
      <c r="B905" s="32" t="s">
        <v>1075</v>
      </c>
    </row>
    <row r="906" customFormat="false" ht="14.25" hidden="false" customHeight="false" outlineLevel="0" collapsed="false">
      <c r="A906" s="24" t="n">
        <v>194220</v>
      </c>
      <c r="B906" s="32" t="s">
        <v>1076</v>
      </c>
    </row>
    <row r="907" customFormat="false" ht="14.25" hidden="false" customHeight="false" outlineLevel="0" collapsed="false">
      <c r="A907" s="24" t="n">
        <v>194230</v>
      </c>
      <c r="B907" s="32" t="s">
        <v>1077</v>
      </c>
    </row>
    <row r="908" customFormat="false" ht="14.25" hidden="false" customHeight="false" outlineLevel="0" collapsed="false">
      <c r="A908" s="24" t="n">
        <v>194300</v>
      </c>
      <c r="B908" s="32" t="s">
        <v>1078</v>
      </c>
    </row>
    <row r="909" customFormat="false" ht="14.25" hidden="false" customHeight="false" outlineLevel="0" collapsed="false">
      <c r="A909" s="24" t="n">
        <v>194400</v>
      </c>
      <c r="B909" s="32" t="s">
        <v>1079</v>
      </c>
    </row>
    <row r="910" customFormat="false" ht="14.25" hidden="false" customHeight="false" outlineLevel="0" collapsed="false">
      <c r="A910" s="24" t="n">
        <v>194500</v>
      </c>
      <c r="B910" s="32" t="s">
        <v>1080</v>
      </c>
    </row>
    <row r="911" customFormat="false" ht="14.25" hidden="false" customHeight="false" outlineLevel="0" collapsed="false">
      <c r="A911" s="24" t="n">
        <v>194600</v>
      </c>
      <c r="B911" s="32" t="s">
        <v>1081</v>
      </c>
    </row>
    <row r="912" customFormat="false" ht="14.25" hidden="false" customHeight="false" outlineLevel="0" collapsed="false">
      <c r="A912" s="24" t="n">
        <v>194700</v>
      </c>
      <c r="B912" s="32" t="s">
        <v>1082</v>
      </c>
    </row>
    <row r="913" customFormat="false" ht="14.25" hidden="false" customHeight="false" outlineLevel="0" collapsed="false">
      <c r="A913" s="24" t="n">
        <v>194710</v>
      </c>
      <c r="B913" s="32" t="s">
        <v>1083</v>
      </c>
    </row>
    <row r="914" customFormat="false" ht="14.25" hidden="false" customHeight="false" outlineLevel="0" collapsed="false">
      <c r="A914" s="24" t="n">
        <v>194720</v>
      </c>
      <c r="B914" s="32" t="s">
        <v>1084</v>
      </c>
    </row>
    <row r="915" customFormat="false" ht="14.25" hidden="false" customHeight="false" outlineLevel="0" collapsed="false">
      <c r="A915" s="24" t="n">
        <v>194730</v>
      </c>
      <c r="B915" s="32" t="s">
        <v>1085</v>
      </c>
    </row>
    <row r="916" customFormat="false" ht="14.25" hidden="false" customHeight="false" outlineLevel="0" collapsed="false">
      <c r="A916" s="24" t="n">
        <v>194740</v>
      </c>
      <c r="B916" s="32" t="s">
        <v>1086</v>
      </c>
    </row>
    <row r="917" customFormat="false" ht="14.25" hidden="false" customHeight="false" outlineLevel="0" collapsed="false">
      <c r="A917" s="24" t="n">
        <v>194750</v>
      </c>
      <c r="B917" s="32" t="s">
        <v>1087</v>
      </c>
    </row>
    <row r="918" customFormat="false" ht="14.25" hidden="false" customHeight="false" outlineLevel="0" collapsed="false">
      <c r="A918" s="24" t="n">
        <v>194800</v>
      </c>
      <c r="B918" s="32" t="s">
        <v>1088</v>
      </c>
    </row>
    <row r="919" customFormat="false" ht="14.25" hidden="false" customHeight="false" outlineLevel="0" collapsed="false">
      <c r="A919" s="24" t="n">
        <v>194810</v>
      </c>
      <c r="B919" s="32" t="s">
        <v>1089</v>
      </c>
    </row>
    <row r="920" customFormat="false" ht="14.25" hidden="false" customHeight="false" outlineLevel="0" collapsed="false">
      <c r="A920" s="24" t="n">
        <v>194900</v>
      </c>
      <c r="B920" s="32" t="s">
        <v>1090</v>
      </c>
    </row>
    <row r="921" customFormat="false" ht="14.25" hidden="false" customHeight="false" outlineLevel="0" collapsed="false">
      <c r="A921" s="24" t="n">
        <v>195000</v>
      </c>
      <c r="B921" s="32" t="s">
        <v>1091</v>
      </c>
    </row>
    <row r="922" customFormat="false" ht="14.25" hidden="false" customHeight="false" outlineLevel="0" collapsed="false">
      <c r="A922" s="24" t="n">
        <v>195100</v>
      </c>
      <c r="B922" s="32" t="s">
        <v>1092</v>
      </c>
    </row>
    <row r="923" customFormat="false" ht="14.25" hidden="false" customHeight="false" outlineLevel="0" collapsed="false">
      <c r="A923" s="24" t="n">
        <v>195200</v>
      </c>
      <c r="B923" s="32" t="s">
        <v>1093</v>
      </c>
    </row>
    <row r="924" customFormat="false" ht="14.25" hidden="false" customHeight="false" outlineLevel="0" collapsed="false">
      <c r="A924" s="24" t="n">
        <v>195210</v>
      </c>
      <c r="B924" s="32" t="s">
        <v>1094</v>
      </c>
    </row>
    <row r="925" customFormat="false" ht="14.25" hidden="false" customHeight="false" outlineLevel="0" collapsed="false">
      <c r="A925" s="24" t="n">
        <v>195300</v>
      </c>
      <c r="B925" s="32" t="s">
        <v>1095</v>
      </c>
    </row>
    <row r="926" customFormat="false" ht="14.25" hidden="false" customHeight="false" outlineLevel="0" collapsed="false">
      <c r="A926" s="24" t="n">
        <v>195400</v>
      </c>
      <c r="B926" s="32" t="s">
        <v>1096</v>
      </c>
    </row>
    <row r="927" customFormat="false" ht="14.25" hidden="false" customHeight="false" outlineLevel="0" collapsed="false">
      <c r="A927" s="24" t="n">
        <v>195500</v>
      </c>
      <c r="B927" s="32" t="s">
        <v>1097</v>
      </c>
    </row>
    <row r="928" customFormat="false" ht="14.25" hidden="false" customHeight="false" outlineLevel="0" collapsed="false">
      <c r="A928" s="24" t="n">
        <v>196000</v>
      </c>
      <c r="B928" s="32" t="s">
        <v>1098</v>
      </c>
    </row>
    <row r="929" customFormat="false" ht="14.25" hidden="false" customHeight="false" outlineLevel="0" collapsed="false">
      <c r="A929" s="24" t="n">
        <v>199200</v>
      </c>
      <c r="B929" s="32" t="s">
        <v>1099</v>
      </c>
    </row>
    <row r="930" customFormat="false" ht="14.25" hidden="false" customHeight="false" outlineLevel="0" collapsed="false">
      <c r="A930" s="24" t="n">
        <v>199300</v>
      </c>
      <c r="B930" s="32" t="s">
        <v>1100</v>
      </c>
    </row>
    <row r="931" customFormat="false" ht="14.25" hidden="false" customHeight="false" outlineLevel="0" collapsed="false">
      <c r="A931" s="24" t="n">
        <v>199400</v>
      </c>
      <c r="B931" s="32" t="s">
        <v>1101</v>
      </c>
    </row>
    <row r="932" customFormat="false" ht="14.25" hidden="false" customHeight="false" outlineLevel="0" collapsed="false">
      <c r="A932" s="24" t="n">
        <v>199500</v>
      </c>
      <c r="B932" s="32" t="s">
        <v>1102</v>
      </c>
    </row>
    <row r="933" customFormat="false" ht="14.25" hidden="false" customHeight="false" outlineLevel="0" collapsed="false">
      <c r="A933" s="24" t="n">
        <v>199900</v>
      </c>
      <c r="B933" s="32" t="s">
        <v>1103</v>
      </c>
    </row>
    <row r="934" customFormat="false" ht="14.25" hidden="false" customHeight="false" outlineLevel="0" collapsed="false">
      <c r="A934" s="24" t="n">
        <v>200100</v>
      </c>
      <c r="B934" s="32" t="s">
        <v>1104</v>
      </c>
    </row>
    <row r="935" customFormat="false" ht="14.25" hidden="false" customHeight="false" outlineLevel="0" collapsed="false">
      <c r="A935" s="24" t="n">
        <v>200200</v>
      </c>
      <c r="B935" s="32" t="s">
        <v>1105</v>
      </c>
    </row>
    <row r="936" customFormat="false" ht="14.25" hidden="false" customHeight="false" outlineLevel="0" collapsed="false">
      <c r="A936" s="24" t="n">
        <v>200300</v>
      </c>
      <c r="B936" s="32" t="s">
        <v>1106</v>
      </c>
    </row>
    <row r="937" customFormat="false" ht="14.25" hidden="false" customHeight="false" outlineLevel="0" collapsed="false">
      <c r="A937" s="24" t="n">
        <v>200400</v>
      </c>
      <c r="B937" s="32" t="s">
        <v>1107</v>
      </c>
    </row>
    <row r="938" customFormat="false" ht="14.25" hidden="false" customHeight="false" outlineLevel="0" collapsed="false">
      <c r="A938" s="24" t="n">
        <v>200500</v>
      </c>
      <c r="B938" s="32" t="s">
        <v>1108</v>
      </c>
    </row>
    <row r="939" customFormat="false" ht="14.25" hidden="false" customHeight="false" outlineLevel="0" collapsed="false">
      <c r="A939" s="24" t="n">
        <v>200600</v>
      </c>
      <c r="B939" s="32" t="s">
        <v>1109</v>
      </c>
    </row>
    <row r="940" customFormat="false" ht="14.25" hidden="false" customHeight="false" outlineLevel="0" collapsed="false">
      <c r="A940" s="24" t="n">
        <v>200700</v>
      </c>
      <c r="B940" s="32" t="s">
        <v>1110</v>
      </c>
    </row>
    <row r="941" customFormat="false" ht="14.25" hidden="false" customHeight="false" outlineLevel="0" collapsed="false">
      <c r="A941" s="24" t="n">
        <v>200800</v>
      </c>
      <c r="B941" s="32" t="s">
        <v>1111</v>
      </c>
    </row>
    <row r="942" customFormat="false" ht="14.25" hidden="false" customHeight="false" outlineLevel="0" collapsed="false">
      <c r="A942" s="24" t="n">
        <v>201200</v>
      </c>
      <c r="B942" s="32" t="s">
        <v>1112</v>
      </c>
    </row>
    <row r="943" customFormat="false" ht="16.4" hidden="false" customHeight="false" outlineLevel="0" collapsed="false">
      <c r="A943" s="24" t="n">
        <v>201900</v>
      </c>
      <c r="B943" s="32" t="s">
        <v>1113</v>
      </c>
    </row>
    <row r="944" customFormat="false" ht="14.25" hidden="false" customHeight="false" outlineLevel="0" collapsed="false">
      <c r="A944" s="24" t="n">
        <v>202100</v>
      </c>
      <c r="B944" s="32" t="s">
        <v>1114</v>
      </c>
    </row>
    <row r="945" customFormat="false" ht="16.4" hidden="false" customHeight="false" outlineLevel="0" collapsed="false">
      <c r="A945" s="24" t="n">
        <v>202200</v>
      </c>
      <c r="B945" s="33" t="s">
        <v>1115</v>
      </c>
    </row>
    <row r="946" customFormat="false" ht="14.25" hidden="false" customHeight="false" outlineLevel="0" collapsed="false">
      <c r="A946" s="24" t="n">
        <v>202300</v>
      </c>
      <c r="B946" s="32" t="s">
        <v>1116</v>
      </c>
    </row>
    <row r="947" customFormat="false" ht="14.25" hidden="false" customHeight="false" outlineLevel="0" collapsed="false">
      <c r="A947" s="24" t="n">
        <v>202390</v>
      </c>
      <c r="B947" s="32" t="s">
        <v>1117</v>
      </c>
    </row>
    <row r="948" customFormat="false" ht="16.4" hidden="false" customHeight="false" outlineLevel="0" collapsed="false">
      <c r="A948" s="24" t="n">
        <v>202400</v>
      </c>
      <c r="B948" s="32" t="s">
        <v>1118</v>
      </c>
    </row>
    <row r="949" customFormat="false" ht="14.25" hidden="false" customHeight="false" outlineLevel="0" collapsed="false">
      <c r="A949" s="24" t="n">
        <v>202410</v>
      </c>
      <c r="B949" s="32" t="s">
        <v>1119</v>
      </c>
    </row>
    <row r="950" customFormat="false" ht="14.25" hidden="false" customHeight="false" outlineLevel="0" collapsed="false">
      <c r="A950" s="24" t="n">
        <v>202420</v>
      </c>
      <c r="B950" s="32" t="s">
        <v>1120</v>
      </c>
    </row>
    <row r="951" customFormat="false" ht="14.25" hidden="false" customHeight="false" outlineLevel="0" collapsed="false">
      <c r="A951" s="24" t="n">
        <v>202421</v>
      </c>
      <c r="B951" s="32" t="s">
        <v>1121</v>
      </c>
    </row>
    <row r="952" customFormat="false" ht="14.25" hidden="false" customHeight="false" outlineLevel="0" collapsed="false">
      <c r="A952" s="24" t="n">
        <v>202422</v>
      </c>
      <c r="B952" s="32" t="s">
        <v>1122</v>
      </c>
    </row>
    <row r="953" customFormat="false" ht="14.25" hidden="false" customHeight="false" outlineLevel="0" collapsed="false">
      <c r="A953" s="24" t="n">
        <v>202423</v>
      </c>
      <c r="B953" s="32" t="s">
        <v>1123</v>
      </c>
    </row>
    <row r="954" customFormat="false" ht="14.25" hidden="false" customHeight="false" outlineLevel="0" collapsed="false">
      <c r="A954" s="24" t="n">
        <v>202430</v>
      </c>
      <c r="B954" s="32" t="s">
        <v>1124</v>
      </c>
    </row>
    <row r="955" customFormat="false" ht="14.25" hidden="false" customHeight="false" outlineLevel="0" collapsed="false">
      <c r="A955" s="24" t="n">
        <v>202431</v>
      </c>
      <c r="B955" s="32" t="s">
        <v>1125</v>
      </c>
    </row>
    <row r="956" customFormat="false" ht="14.25" hidden="false" customHeight="false" outlineLevel="0" collapsed="false">
      <c r="A956" s="24" t="n">
        <v>202432</v>
      </c>
      <c r="B956" s="32" t="s">
        <v>1126</v>
      </c>
    </row>
    <row r="957" customFormat="false" ht="14.25" hidden="false" customHeight="false" outlineLevel="0" collapsed="false">
      <c r="A957" s="24" t="n">
        <v>202440</v>
      </c>
      <c r="B957" s="32" t="s">
        <v>1127</v>
      </c>
    </row>
    <row r="958" customFormat="false" ht="14.25" hidden="false" customHeight="false" outlineLevel="0" collapsed="false">
      <c r="A958" s="24" t="n">
        <v>202450</v>
      </c>
      <c r="B958" s="32" t="s">
        <v>1128</v>
      </c>
    </row>
    <row r="959" customFormat="false" ht="14.25" hidden="false" customHeight="false" outlineLevel="0" collapsed="false">
      <c r="A959" s="24" t="n">
        <v>202460</v>
      </c>
      <c r="B959" s="32" t="s">
        <v>1129</v>
      </c>
    </row>
    <row r="960" customFormat="false" ht="14.25" hidden="false" customHeight="false" outlineLevel="0" collapsed="false">
      <c r="A960" s="24" t="n">
        <v>202470</v>
      </c>
      <c r="B960" s="32" t="s">
        <v>1130</v>
      </c>
    </row>
    <row r="961" customFormat="false" ht="14.25" hidden="false" customHeight="false" outlineLevel="0" collapsed="false">
      <c r="A961" s="24" t="n">
        <v>202480</v>
      </c>
      <c r="B961" s="32" t="s">
        <v>1131</v>
      </c>
    </row>
    <row r="962" customFormat="false" ht="14.25" hidden="false" customHeight="false" outlineLevel="0" collapsed="false">
      <c r="A962" s="24" t="n">
        <v>202490</v>
      </c>
      <c r="B962" s="32" t="s">
        <v>1132</v>
      </c>
    </row>
    <row r="963" customFormat="false" ht="14.25" hidden="false" customHeight="false" outlineLevel="0" collapsed="false">
      <c r="A963" s="24" t="n">
        <v>202500</v>
      </c>
      <c r="B963" s="32" t="s">
        <v>1133</v>
      </c>
    </row>
    <row r="964" customFormat="false" ht="14.25" hidden="false" customHeight="false" outlineLevel="0" collapsed="false">
      <c r="A964" s="24" t="n">
        <v>202510</v>
      </c>
      <c r="B964" s="32" t="s">
        <v>1134</v>
      </c>
    </row>
    <row r="965" customFormat="false" ht="14.25" hidden="false" customHeight="false" outlineLevel="0" collapsed="false">
      <c r="A965" s="24" t="n">
        <v>202520</v>
      </c>
      <c r="B965" s="32" t="s">
        <v>1135</v>
      </c>
    </row>
    <row r="966" customFormat="false" ht="14.25" hidden="false" customHeight="false" outlineLevel="0" collapsed="false">
      <c r="A966" s="24" t="n">
        <v>202530</v>
      </c>
      <c r="B966" s="32" t="s">
        <v>1136</v>
      </c>
    </row>
    <row r="967" customFormat="false" ht="14.25" hidden="false" customHeight="false" outlineLevel="0" collapsed="false">
      <c r="A967" s="24" t="n">
        <v>202540</v>
      </c>
      <c r="B967" s="32" t="s">
        <v>1137</v>
      </c>
    </row>
    <row r="968" customFormat="false" ht="14.25" hidden="false" customHeight="false" outlineLevel="0" collapsed="false">
      <c r="A968" s="24" t="n">
        <v>202550</v>
      </c>
      <c r="B968" s="32" t="s">
        <v>1138</v>
      </c>
    </row>
    <row r="969" customFormat="false" ht="14.25" hidden="false" customHeight="false" outlineLevel="0" collapsed="false">
      <c r="A969" s="24" t="n">
        <v>202600</v>
      </c>
      <c r="B969" s="32" t="s">
        <v>1139</v>
      </c>
    </row>
    <row r="970" customFormat="false" ht="14.25" hidden="false" customHeight="false" outlineLevel="0" collapsed="false">
      <c r="A970" s="24" t="n">
        <v>202700</v>
      </c>
      <c r="B970" s="32" t="s">
        <v>1140</v>
      </c>
    </row>
    <row r="971" customFormat="false" ht="14.25" hidden="false" customHeight="false" outlineLevel="0" collapsed="false">
      <c r="A971" s="24" t="n">
        <v>202900</v>
      </c>
      <c r="B971" s="32" t="s">
        <v>1141</v>
      </c>
    </row>
    <row r="972" customFormat="false" ht="14.25" hidden="false" customHeight="false" outlineLevel="0" collapsed="false">
      <c r="A972" s="24" t="n">
        <v>203000</v>
      </c>
      <c r="B972" s="32" t="s">
        <v>1142</v>
      </c>
    </row>
    <row r="973" customFormat="false" ht="14.25" hidden="false" customHeight="false" outlineLevel="0" collapsed="false">
      <c r="A973" s="24" t="n">
        <v>203100</v>
      </c>
      <c r="B973" s="32" t="s">
        <v>1143</v>
      </c>
    </row>
    <row r="974" customFormat="false" ht="14.25" hidden="false" customHeight="false" outlineLevel="0" collapsed="false">
      <c r="A974" s="24" t="n">
        <v>203200</v>
      </c>
      <c r="B974" s="32" t="s">
        <v>1144</v>
      </c>
    </row>
    <row r="975" customFormat="false" ht="14.25" hidden="false" customHeight="false" outlineLevel="0" collapsed="false">
      <c r="A975" s="24" t="n">
        <v>203210</v>
      </c>
      <c r="B975" s="32" t="s">
        <v>1145</v>
      </c>
    </row>
    <row r="976" customFormat="false" ht="14.25" hidden="false" customHeight="false" outlineLevel="0" collapsed="false">
      <c r="A976" s="24" t="n">
        <v>203300</v>
      </c>
      <c r="B976" s="32" t="s">
        <v>1146</v>
      </c>
    </row>
    <row r="977" customFormat="false" ht="14.25" hidden="false" customHeight="false" outlineLevel="0" collapsed="false">
      <c r="A977" s="24" t="n">
        <v>203310</v>
      </c>
      <c r="B977" s="32" t="s">
        <v>1147</v>
      </c>
    </row>
    <row r="978" customFormat="false" ht="14.25" hidden="false" customHeight="false" outlineLevel="0" collapsed="false">
      <c r="A978" s="24" t="n">
        <v>203400</v>
      </c>
      <c r="B978" s="32" t="s">
        <v>1148</v>
      </c>
    </row>
    <row r="979" customFormat="false" ht="14.25" hidden="false" customHeight="false" outlineLevel="0" collapsed="false">
      <c r="A979" s="24" t="n">
        <v>203500</v>
      </c>
      <c r="B979" s="32" t="s">
        <v>1149</v>
      </c>
    </row>
    <row r="980" customFormat="false" ht="14.25" hidden="false" customHeight="false" outlineLevel="0" collapsed="false">
      <c r="A980" s="24" t="n">
        <v>203510</v>
      </c>
      <c r="B980" s="32" t="s">
        <v>1150</v>
      </c>
    </row>
    <row r="981" customFormat="false" ht="14.25" hidden="false" customHeight="false" outlineLevel="0" collapsed="false">
      <c r="A981" s="24" t="n">
        <v>203600</v>
      </c>
      <c r="B981" s="32" t="s">
        <v>1151</v>
      </c>
    </row>
    <row r="982" customFormat="false" ht="14.25" hidden="false" customHeight="false" outlineLevel="0" collapsed="false">
      <c r="A982" s="24" t="n">
        <v>203700</v>
      </c>
      <c r="B982" s="32" t="s">
        <v>1152</v>
      </c>
    </row>
    <row r="983" customFormat="false" ht="14.25" hidden="false" customHeight="false" outlineLevel="0" collapsed="false">
      <c r="A983" s="24" t="n">
        <v>203710</v>
      </c>
      <c r="B983" s="32" t="s">
        <v>1153</v>
      </c>
    </row>
    <row r="984" customFormat="false" ht="14.25" hidden="false" customHeight="false" outlineLevel="0" collapsed="false">
      <c r="A984" s="24" t="n">
        <v>203720</v>
      </c>
      <c r="B984" s="32" t="s">
        <v>1154</v>
      </c>
    </row>
    <row r="985" customFormat="false" ht="14.25" hidden="false" customHeight="false" outlineLevel="0" collapsed="false">
      <c r="A985" s="24" t="n">
        <v>203730</v>
      </c>
      <c r="B985" s="32" t="s">
        <v>1155</v>
      </c>
    </row>
    <row r="986" customFormat="false" ht="14.25" hidden="false" customHeight="false" outlineLevel="0" collapsed="false">
      <c r="A986" s="24" t="n">
        <v>203750</v>
      </c>
      <c r="B986" s="32" t="s">
        <v>1156</v>
      </c>
    </row>
    <row r="987" customFormat="false" ht="14.25" hidden="false" customHeight="false" outlineLevel="0" collapsed="false">
      <c r="A987" s="24" t="n">
        <v>203751</v>
      </c>
      <c r="B987" s="32" t="s">
        <v>1157</v>
      </c>
    </row>
    <row r="988" customFormat="false" ht="14.25" hidden="false" customHeight="false" outlineLevel="0" collapsed="false">
      <c r="A988" s="24" t="n">
        <v>203800</v>
      </c>
      <c r="B988" s="32" t="s">
        <v>1158</v>
      </c>
    </row>
    <row r="989" customFormat="false" ht="14.25" hidden="false" customHeight="false" outlineLevel="0" collapsed="false">
      <c r="A989" s="24" t="n">
        <v>203810</v>
      </c>
      <c r="B989" s="32" t="s">
        <v>1159</v>
      </c>
    </row>
    <row r="990" customFormat="false" ht="14.25" hidden="false" customHeight="false" outlineLevel="0" collapsed="false">
      <c r="A990" s="24" t="n">
        <v>203900</v>
      </c>
      <c r="B990" s="32" t="s">
        <v>1160</v>
      </c>
    </row>
    <row r="991" customFormat="false" ht="14.25" hidden="false" customHeight="false" outlineLevel="0" collapsed="false">
      <c r="A991" s="24" t="n">
        <v>203901</v>
      </c>
      <c r="B991" s="32" t="s">
        <v>1161</v>
      </c>
    </row>
    <row r="992" customFormat="false" ht="14.25" hidden="false" customHeight="false" outlineLevel="0" collapsed="false">
      <c r="A992" s="24" t="n">
        <v>204200</v>
      </c>
      <c r="B992" s="32" t="s">
        <v>1162</v>
      </c>
    </row>
    <row r="993" customFormat="false" ht="14.25" hidden="false" customHeight="false" outlineLevel="0" collapsed="false">
      <c r="A993" s="24" t="n">
        <v>204210</v>
      </c>
      <c r="B993" s="32" t="s">
        <v>1163</v>
      </c>
    </row>
    <row r="994" customFormat="false" ht="14.25" hidden="false" customHeight="false" outlineLevel="0" collapsed="false">
      <c r="A994" s="24" t="n">
        <v>204220</v>
      </c>
      <c r="B994" s="32" t="s">
        <v>1164</v>
      </c>
    </row>
    <row r="995" customFormat="false" ht="14.25" hidden="false" customHeight="false" outlineLevel="0" collapsed="false">
      <c r="A995" s="24" t="n">
        <v>204230</v>
      </c>
      <c r="B995" s="32" t="s">
        <v>1165</v>
      </c>
    </row>
    <row r="996" customFormat="false" ht="14.25" hidden="false" customHeight="false" outlineLevel="0" collapsed="false">
      <c r="A996" s="24" t="n">
        <v>204240</v>
      </c>
      <c r="B996" s="32" t="s">
        <v>1166</v>
      </c>
    </row>
    <row r="997" customFormat="false" ht="14.25" hidden="false" customHeight="false" outlineLevel="0" collapsed="false">
      <c r="A997" s="24" t="n">
        <v>204241</v>
      </c>
      <c r="B997" s="32" t="s">
        <v>1167</v>
      </c>
    </row>
    <row r="998" customFormat="false" ht="14.25" hidden="false" customHeight="false" outlineLevel="0" collapsed="false">
      <c r="A998" s="24" t="n">
        <v>204242</v>
      </c>
      <c r="B998" s="32" t="s">
        <v>1168</v>
      </c>
    </row>
    <row r="999" customFormat="false" ht="14.25" hidden="false" customHeight="false" outlineLevel="0" collapsed="false">
      <c r="A999" s="24" t="n">
        <v>204250</v>
      </c>
      <c r="B999" s="32" t="s">
        <v>1169</v>
      </c>
    </row>
    <row r="1000" customFormat="false" ht="14.25" hidden="false" customHeight="false" outlineLevel="0" collapsed="false">
      <c r="A1000" s="24" t="n">
        <v>204260</v>
      </c>
      <c r="B1000" s="32" t="s">
        <v>1170</v>
      </c>
    </row>
    <row r="1001" customFormat="false" ht="14.25" hidden="false" customHeight="false" outlineLevel="0" collapsed="false">
      <c r="A1001" s="24" t="n">
        <v>204270</v>
      </c>
      <c r="B1001" s="32" t="s">
        <v>1171</v>
      </c>
    </row>
    <row r="1002" customFormat="false" ht="14.25" hidden="false" customHeight="false" outlineLevel="0" collapsed="false">
      <c r="A1002" s="24" t="n">
        <v>204280</v>
      </c>
      <c r="B1002" s="32" t="s">
        <v>1172</v>
      </c>
    </row>
    <row r="1003" customFormat="false" ht="14.25" hidden="false" customHeight="false" outlineLevel="0" collapsed="false">
      <c r="A1003" s="24" t="n">
        <v>204300</v>
      </c>
      <c r="B1003" s="32" t="s">
        <v>1173</v>
      </c>
    </row>
    <row r="1004" customFormat="false" ht="14.25" hidden="false" customHeight="false" outlineLevel="0" collapsed="false">
      <c r="A1004" s="24" t="n">
        <v>204310</v>
      </c>
      <c r="B1004" s="32" t="s">
        <v>1174</v>
      </c>
    </row>
    <row r="1005" customFormat="false" ht="14.25" hidden="false" customHeight="false" outlineLevel="0" collapsed="false">
      <c r="A1005" s="24" t="n">
        <v>204320</v>
      </c>
      <c r="B1005" s="32" t="s">
        <v>1175</v>
      </c>
    </row>
    <row r="1006" customFormat="false" ht="14.25" hidden="false" customHeight="false" outlineLevel="0" collapsed="false">
      <c r="A1006" s="24" t="n">
        <v>204330</v>
      </c>
      <c r="B1006" s="32" t="s">
        <v>1176</v>
      </c>
    </row>
    <row r="1007" customFormat="false" ht="14.25" hidden="false" customHeight="false" outlineLevel="0" collapsed="false">
      <c r="A1007" s="24" t="n">
        <v>204340</v>
      </c>
      <c r="B1007" s="32" t="s">
        <v>1177</v>
      </c>
    </row>
    <row r="1008" customFormat="false" ht="14.25" hidden="false" customHeight="false" outlineLevel="0" collapsed="false">
      <c r="A1008" s="24" t="n">
        <v>204350</v>
      </c>
      <c r="B1008" s="32" t="s">
        <v>1178</v>
      </c>
    </row>
    <row r="1009" customFormat="false" ht="14.25" hidden="false" customHeight="false" outlineLevel="0" collapsed="false">
      <c r="A1009" s="24" t="n">
        <v>204360</v>
      </c>
      <c r="B1009" s="32" t="s">
        <v>1179</v>
      </c>
    </row>
    <row r="1010" customFormat="false" ht="14.25" hidden="false" customHeight="false" outlineLevel="0" collapsed="false">
      <c r="A1010" s="24" t="n">
        <v>204400</v>
      </c>
      <c r="B1010" s="32" t="s">
        <v>1180</v>
      </c>
    </row>
    <row r="1011" customFormat="false" ht="14.25" hidden="false" customHeight="false" outlineLevel="0" collapsed="false">
      <c r="A1011" s="24" t="n">
        <v>204500</v>
      </c>
      <c r="B1011" s="32" t="s">
        <v>1181</v>
      </c>
    </row>
    <row r="1012" customFormat="false" ht="14.25" hidden="false" customHeight="false" outlineLevel="0" collapsed="false">
      <c r="A1012" s="24" t="n">
        <v>204800</v>
      </c>
      <c r="B1012" s="32" t="s">
        <v>1182</v>
      </c>
    </row>
    <row r="1013" customFormat="false" ht="14.25" hidden="false" customHeight="false" outlineLevel="0" collapsed="false">
      <c r="A1013" s="24" t="n">
        <v>204810</v>
      </c>
      <c r="B1013" s="32" t="s">
        <v>1183</v>
      </c>
    </row>
    <row r="1014" customFormat="false" ht="14.25" hidden="false" customHeight="false" outlineLevel="0" collapsed="false">
      <c r="A1014" s="24" t="n">
        <v>204820</v>
      </c>
      <c r="B1014" s="32" t="s">
        <v>1184</v>
      </c>
    </row>
    <row r="1015" customFormat="false" ht="14.25" hidden="false" customHeight="false" outlineLevel="0" collapsed="false">
      <c r="A1015" s="24" t="n">
        <v>204830</v>
      </c>
      <c r="B1015" s="32" t="s">
        <v>1185</v>
      </c>
    </row>
    <row r="1016" customFormat="false" ht="14.25" hidden="false" customHeight="false" outlineLevel="0" collapsed="false">
      <c r="A1016" s="24" t="n">
        <v>204900</v>
      </c>
      <c r="B1016" s="32" t="s">
        <v>1186</v>
      </c>
    </row>
    <row r="1017" customFormat="false" ht="14.25" hidden="false" customHeight="false" outlineLevel="0" collapsed="false">
      <c r="A1017" s="24" t="n">
        <v>205000</v>
      </c>
      <c r="B1017" s="32" t="s">
        <v>1187</v>
      </c>
    </row>
    <row r="1018" customFormat="false" ht="14.25" hidden="false" customHeight="false" outlineLevel="0" collapsed="false">
      <c r="A1018" s="24" t="n">
        <v>205100</v>
      </c>
      <c r="B1018" s="32" t="s">
        <v>1188</v>
      </c>
    </row>
    <row r="1019" customFormat="false" ht="14.25" hidden="false" customHeight="false" outlineLevel="0" collapsed="false">
      <c r="A1019" s="24" t="n">
        <v>205200</v>
      </c>
      <c r="B1019" s="32" t="s">
        <v>1189</v>
      </c>
    </row>
    <row r="1020" customFormat="false" ht="14.25" hidden="false" customHeight="false" outlineLevel="0" collapsed="false">
      <c r="A1020" s="24" t="n">
        <v>205300</v>
      </c>
      <c r="B1020" s="32" t="s">
        <v>1190</v>
      </c>
    </row>
    <row r="1021" customFormat="false" ht="14.25" hidden="false" customHeight="false" outlineLevel="0" collapsed="false">
      <c r="A1021" s="24" t="n">
        <v>206000</v>
      </c>
      <c r="B1021" s="32" t="s">
        <v>1191</v>
      </c>
    </row>
    <row r="1022" customFormat="false" ht="14.25" hidden="false" customHeight="false" outlineLevel="0" collapsed="false">
      <c r="A1022" s="24" t="n">
        <v>206100</v>
      </c>
      <c r="B1022" s="32" t="s">
        <v>1192</v>
      </c>
    </row>
    <row r="1023" customFormat="false" ht="14.25" hidden="false" customHeight="false" outlineLevel="0" collapsed="false">
      <c r="A1023" s="24" t="n">
        <v>206200</v>
      </c>
      <c r="B1023" s="32" t="s">
        <v>1193</v>
      </c>
    </row>
    <row r="1024" customFormat="false" ht="14.25" hidden="false" customHeight="false" outlineLevel="0" collapsed="false">
      <c r="A1024" s="24" t="n">
        <v>206300</v>
      </c>
      <c r="B1024" s="32" t="s">
        <v>1194</v>
      </c>
    </row>
    <row r="1025" customFormat="false" ht="14.25" hidden="false" customHeight="false" outlineLevel="0" collapsed="false">
      <c r="A1025" s="24" t="n">
        <v>206400</v>
      </c>
      <c r="B1025" s="32" t="s">
        <v>1195</v>
      </c>
    </row>
    <row r="1026" customFormat="false" ht="14.25" hidden="false" customHeight="false" outlineLevel="0" collapsed="false">
      <c r="A1026" s="24" t="n">
        <v>206410</v>
      </c>
      <c r="B1026" s="32" t="s">
        <v>1196</v>
      </c>
    </row>
    <row r="1027" customFormat="false" ht="14.25" hidden="false" customHeight="false" outlineLevel="0" collapsed="false">
      <c r="A1027" s="24" t="n">
        <v>206420</v>
      </c>
      <c r="B1027" s="32" t="s">
        <v>1197</v>
      </c>
    </row>
    <row r="1028" customFormat="false" ht="14.25" hidden="false" customHeight="false" outlineLevel="0" collapsed="false">
      <c r="A1028" s="24" t="n">
        <v>206500</v>
      </c>
      <c r="B1028" s="32" t="s">
        <v>1198</v>
      </c>
    </row>
    <row r="1029" customFormat="false" ht="14.25" hidden="false" customHeight="false" outlineLevel="0" collapsed="false">
      <c r="A1029" s="24" t="n">
        <v>206590</v>
      </c>
      <c r="B1029" s="32" t="s">
        <v>1199</v>
      </c>
    </row>
    <row r="1030" customFormat="false" ht="14.25" hidden="false" customHeight="false" outlineLevel="0" collapsed="false">
      <c r="A1030" s="24" t="n">
        <v>206600</v>
      </c>
      <c r="B1030" s="32" t="s">
        <v>1200</v>
      </c>
    </row>
    <row r="1031" customFormat="false" ht="14.25" hidden="false" customHeight="false" outlineLevel="0" collapsed="false">
      <c r="A1031" s="24" t="n">
        <v>206700</v>
      </c>
      <c r="B1031" s="32" t="s">
        <v>1201</v>
      </c>
    </row>
    <row r="1032" customFormat="false" ht="14.25" hidden="false" customHeight="false" outlineLevel="0" collapsed="false">
      <c r="A1032" s="24" t="n">
        <v>206710</v>
      </c>
      <c r="B1032" s="32" t="s">
        <v>1202</v>
      </c>
    </row>
    <row r="1033" customFormat="false" ht="14.25" hidden="false" customHeight="false" outlineLevel="0" collapsed="false">
      <c r="A1033" s="24" t="n">
        <v>206800</v>
      </c>
      <c r="B1033" s="32" t="s">
        <v>1203</v>
      </c>
    </row>
    <row r="1034" customFormat="false" ht="14.25" hidden="false" customHeight="false" outlineLevel="0" collapsed="false">
      <c r="A1034" s="24" t="n">
        <v>207000</v>
      </c>
      <c r="B1034" s="32" t="s">
        <v>1204</v>
      </c>
    </row>
    <row r="1035" customFormat="false" ht="14.25" hidden="false" customHeight="false" outlineLevel="0" collapsed="false">
      <c r="A1035" s="24" t="n">
        <v>207100</v>
      </c>
      <c r="B1035" s="32" t="s">
        <v>1205</v>
      </c>
    </row>
    <row r="1036" customFormat="false" ht="14.25" hidden="false" customHeight="false" outlineLevel="0" collapsed="false">
      <c r="A1036" s="24" t="n">
        <v>208900</v>
      </c>
      <c r="B1036" s="32" t="s">
        <v>1206</v>
      </c>
    </row>
    <row r="1037" customFormat="false" ht="14.25" hidden="false" customHeight="false" outlineLevel="0" collapsed="false">
      <c r="A1037" s="24" t="n">
        <v>209000</v>
      </c>
      <c r="B1037" s="32" t="s">
        <v>1207</v>
      </c>
    </row>
    <row r="1038" customFormat="false" ht="14.25" hidden="false" customHeight="false" outlineLevel="0" collapsed="false">
      <c r="A1038" s="24" t="n">
        <v>209100</v>
      </c>
      <c r="B1038" s="32" t="s">
        <v>1208</v>
      </c>
    </row>
    <row r="1039" customFormat="false" ht="14.25" hidden="false" customHeight="false" outlineLevel="0" collapsed="false">
      <c r="A1039" s="24" t="n">
        <v>209110</v>
      </c>
      <c r="B1039" s="32" t="s">
        <v>1209</v>
      </c>
    </row>
    <row r="1040" customFormat="false" ht="14.25" hidden="false" customHeight="false" outlineLevel="0" collapsed="false">
      <c r="A1040" s="24" t="n">
        <v>209120</v>
      </c>
      <c r="B1040" s="32" t="s">
        <v>1210</v>
      </c>
    </row>
    <row r="1041" customFormat="false" ht="14.25" hidden="false" customHeight="false" outlineLevel="0" collapsed="false">
      <c r="A1041" s="24" t="n">
        <v>209121</v>
      </c>
      <c r="B1041" s="32" t="s">
        <v>1211</v>
      </c>
    </row>
    <row r="1042" customFormat="false" ht="14.25" hidden="false" customHeight="false" outlineLevel="0" collapsed="false">
      <c r="A1042" s="24" t="n">
        <v>209130</v>
      </c>
      <c r="B1042" s="32" t="s">
        <v>1212</v>
      </c>
    </row>
    <row r="1043" customFormat="false" ht="14.25" hidden="false" customHeight="false" outlineLevel="0" collapsed="false">
      <c r="A1043" s="24" t="n">
        <v>209900</v>
      </c>
      <c r="B1043" s="32" t="s">
        <v>1213</v>
      </c>
    </row>
    <row r="1044" customFormat="false" ht="14.25" hidden="false" customHeight="false" outlineLevel="0" collapsed="false">
      <c r="A1044" s="24" t="n">
        <v>210000</v>
      </c>
      <c r="B1044" s="32" t="s">
        <v>1214</v>
      </c>
    </row>
    <row r="1045" customFormat="false" ht="14.25" hidden="false" customHeight="false" outlineLevel="0" collapsed="false">
      <c r="A1045" s="24" t="n">
        <v>210040</v>
      </c>
      <c r="B1045" s="32" t="s">
        <v>1215</v>
      </c>
    </row>
    <row r="1046" customFormat="false" ht="14.25" hidden="false" customHeight="false" outlineLevel="0" collapsed="false">
      <c r="A1046" s="24" t="n">
        <v>210050</v>
      </c>
      <c r="B1046" s="32" t="s">
        <v>1216</v>
      </c>
    </row>
    <row r="1047" customFormat="false" ht="14.25" hidden="false" customHeight="false" outlineLevel="0" collapsed="false">
      <c r="A1047" s="24" t="n">
        <v>210100</v>
      </c>
      <c r="B1047" s="32" t="s">
        <v>1217</v>
      </c>
    </row>
    <row r="1048" customFormat="false" ht="14.25" hidden="false" customHeight="false" outlineLevel="0" collapsed="false">
      <c r="A1048" s="24" t="n">
        <v>210150</v>
      </c>
      <c r="B1048" s="32" t="s">
        <v>1218</v>
      </c>
    </row>
    <row r="1049" customFormat="false" ht="14.25" hidden="false" customHeight="false" outlineLevel="0" collapsed="false">
      <c r="A1049" s="24" t="n">
        <v>211000</v>
      </c>
      <c r="B1049" s="32" t="s">
        <v>1219</v>
      </c>
    </row>
    <row r="1050" customFormat="false" ht="14.25" hidden="false" customHeight="false" outlineLevel="0" collapsed="false">
      <c r="A1050" s="24" t="n">
        <v>211200</v>
      </c>
      <c r="B1050" s="32" t="s">
        <v>1220</v>
      </c>
    </row>
    <row r="1051" customFormat="false" ht="14.25" hidden="false" customHeight="false" outlineLevel="0" collapsed="false">
      <c r="A1051" s="24" t="n">
        <v>211300</v>
      </c>
      <c r="B1051" s="32" t="s">
        <v>1221</v>
      </c>
    </row>
    <row r="1052" customFormat="false" ht="14.25" hidden="false" customHeight="false" outlineLevel="0" collapsed="false">
      <c r="A1052" s="24" t="n">
        <v>211400</v>
      </c>
      <c r="B1052" s="32" t="s">
        <v>1222</v>
      </c>
    </row>
    <row r="1053" customFormat="false" ht="14.25" hidden="false" customHeight="false" outlineLevel="0" collapsed="false">
      <c r="A1053" s="24" t="n">
        <v>211500</v>
      </c>
      <c r="B1053" s="32" t="s">
        <v>1223</v>
      </c>
    </row>
    <row r="1054" customFormat="false" ht="14.25" hidden="false" customHeight="false" outlineLevel="0" collapsed="false">
      <c r="A1054" s="24" t="n">
        <v>211600</v>
      </c>
      <c r="B1054" s="32" t="s">
        <v>1224</v>
      </c>
    </row>
    <row r="1055" customFormat="false" ht="14.25" hidden="false" customHeight="false" outlineLevel="0" collapsed="false">
      <c r="A1055" s="24" t="n">
        <v>211610</v>
      </c>
      <c r="B1055" s="32" t="s">
        <v>1225</v>
      </c>
    </row>
    <row r="1056" customFormat="false" ht="14.25" hidden="false" customHeight="false" outlineLevel="0" collapsed="false">
      <c r="A1056" s="24" t="n">
        <v>211620</v>
      </c>
      <c r="B1056" s="32" t="s">
        <v>1226</v>
      </c>
    </row>
    <row r="1057" customFormat="false" ht="14.25" hidden="false" customHeight="false" outlineLevel="0" collapsed="false">
      <c r="A1057" s="24" t="n">
        <v>211630</v>
      </c>
      <c r="B1057" s="32" t="s">
        <v>1227</v>
      </c>
    </row>
    <row r="1058" customFormat="false" ht="14.25" hidden="false" customHeight="false" outlineLevel="0" collapsed="false">
      <c r="A1058" s="24" t="n">
        <v>211690</v>
      </c>
      <c r="B1058" s="32" t="s">
        <v>1228</v>
      </c>
    </row>
    <row r="1059" customFormat="false" ht="14.25" hidden="false" customHeight="false" outlineLevel="0" collapsed="false">
      <c r="A1059" s="24" t="n">
        <v>211700</v>
      </c>
      <c r="B1059" s="32" t="s">
        <v>1229</v>
      </c>
    </row>
    <row r="1060" customFormat="false" ht="14.25" hidden="false" customHeight="false" outlineLevel="0" collapsed="false">
      <c r="A1060" s="24" t="n">
        <v>211710</v>
      </c>
      <c r="B1060" s="32" t="s">
        <v>1230</v>
      </c>
    </row>
    <row r="1061" customFormat="false" ht="14.25" hidden="false" customHeight="false" outlineLevel="0" collapsed="false">
      <c r="A1061" s="24" t="n">
        <v>211711</v>
      </c>
      <c r="B1061" s="32" t="s">
        <v>1231</v>
      </c>
    </row>
    <row r="1062" customFormat="false" ht="14.25" hidden="false" customHeight="false" outlineLevel="0" collapsed="false">
      <c r="A1062" s="24" t="n">
        <v>211712</v>
      </c>
      <c r="B1062" s="32" t="s">
        <v>1232</v>
      </c>
    </row>
    <row r="1063" customFormat="false" ht="14.25" hidden="false" customHeight="false" outlineLevel="0" collapsed="false">
      <c r="A1063" s="24" t="n">
        <v>211713</v>
      </c>
      <c r="B1063" s="32" t="s">
        <v>1233</v>
      </c>
    </row>
    <row r="1064" customFormat="false" ht="14.25" hidden="false" customHeight="false" outlineLevel="0" collapsed="false">
      <c r="A1064" s="24" t="n">
        <v>211714</v>
      </c>
      <c r="B1064" s="32" t="s">
        <v>1234</v>
      </c>
    </row>
    <row r="1065" customFormat="false" ht="14.25" hidden="false" customHeight="false" outlineLevel="0" collapsed="false">
      <c r="A1065" s="24" t="n">
        <v>211715</v>
      </c>
      <c r="B1065" s="32" t="s">
        <v>1235</v>
      </c>
    </row>
    <row r="1066" customFormat="false" ht="14.25" hidden="false" customHeight="false" outlineLevel="0" collapsed="false">
      <c r="A1066" s="24" t="n">
        <v>211716</v>
      </c>
      <c r="B1066" s="32" t="s">
        <v>1236</v>
      </c>
    </row>
    <row r="1067" customFormat="false" ht="14.25" hidden="false" customHeight="false" outlineLevel="0" collapsed="false">
      <c r="A1067" s="24" t="n">
        <v>211717</v>
      </c>
      <c r="B1067" s="32" t="s">
        <v>1237</v>
      </c>
    </row>
    <row r="1068" customFormat="false" ht="14.25" hidden="false" customHeight="false" outlineLevel="0" collapsed="false">
      <c r="A1068" s="24" t="n">
        <v>211718</v>
      </c>
      <c r="B1068" s="32" t="s">
        <v>1238</v>
      </c>
    </row>
    <row r="1069" customFormat="false" ht="14.25" hidden="false" customHeight="false" outlineLevel="0" collapsed="false">
      <c r="A1069" s="24" t="n">
        <v>211719</v>
      </c>
      <c r="B1069" s="32" t="s">
        <v>1239</v>
      </c>
    </row>
    <row r="1070" customFormat="false" ht="14.25" hidden="false" customHeight="false" outlineLevel="0" collapsed="false">
      <c r="A1070" s="24" t="n">
        <v>211720</v>
      </c>
      <c r="B1070" s="32" t="s">
        <v>1240</v>
      </c>
    </row>
    <row r="1071" customFormat="false" ht="14.25" hidden="false" customHeight="false" outlineLevel="0" collapsed="false">
      <c r="A1071" s="24" t="n">
        <v>211721</v>
      </c>
      <c r="B1071" s="32" t="s">
        <v>1241</v>
      </c>
    </row>
    <row r="1072" customFormat="false" ht="14.25" hidden="false" customHeight="false" outlineLevel="0" collapsed="false">
      <c r="A1072" s="24" t="n">
        <v>211722</v>
      </c>
      <c r="B1072" s="32" t="s">
        <v>1242</v>
      </c>
    </row>
    <row r="1073" customFormat="false" ht="14.25" hidden="false" customHeight="false" outlineLevel="0" collapsed="false">
      <c r="A1073" s="24" t="n">
        <v>211723</v>
      </c>
      <c r="B1073" s="32" t="s">
        <v>1243</v>
      </c>
    </row>
    <row r="1074" customFormat="false" ht="14.25" hidden="false" customHeight="false" outlineLevel="0" collapsed="false">
      <c r="A1074" s="24" t="n">
        <v>211724</v>
      </c>
      <c r="B1074" s="32" t="s">
        <v>1244</v>
      </c>
    </row>
    <row r="1075" customFormat="false" ht="14.25" hidden="false" customHeight="false" outlineLevel="0" collapsed="false">
      <c r="A1075" s="24" t="n">
        <v>211730</v>
      </c>
      <c r="B1075" s="32" t="s">
        <v>1245</v>
      </c>
    </row>
    <row r="1076" customFormat="false" ht="14.25" hidden="false" customHeight="false" outlineLevel="0" collapsed="false">
      <c r="A1076" s="24" t="n">
        <v>211731</v>
      </c>
      <c r="B1076" s="32" t="s">
        <v>1246</v>
      </c>
    </row>
    <row r="1077" customFormat="false" ht="14.25" hidden="false" customHeight="false" outlineLevel="0" collapsed="false">
      <c r="A1077" s="24" t="n">
        <v>211732</v>
      </c>
      <c r="B1077" s="32" t="s">
        <v>1247</v>
      </c>
    </row>
    <row r="1078" customFormat="false" ht="14.25" hidden="false" customHeight="false" outlineLevel="0" collapsed="false">
      <c r="A1078" s="24" t="n">
        <v>211733</v>
      </c>
      <c r="B1078" s="32" t="s">
        <v>1248</v>
      </c>
    </row>
    <row r="1079" customFormat="false" ht="14.25" hidden="false" customHeight="false" outlineLevel="0" collapsed="false">
      <c r="A1079" s="24" t="n">
        <v>211740</v>
      </c>
      <c r="B1079" s="32" t="s">
        <v>1249</v>
      </c>
    </row>
    <row r="1080" customFormat="false" ht="14.25" hidden="false" customHeight="false" outlineLevel="0" collapsed="false">
      <c r="A1080" s="24" t="n">
        <v>211750</v>
      </c>
      <c r="B1080" s="32" t="s">
        <v>1250</v>
      </c>
    </row>
    <row r="1081" customFormat="false" ht="14.25" hidden="false" customHeight="false" outlineLevel="0" collapsed="false">
      <c r="A1081" s="24" t="n">
        <v>211760</v>
      </c>
      <c r="B1081" s="32" t="s">
        <v>1251</v>
      </c>
    </row>
    <row r="1082" customFormat="false" ht="14.25" hidden="false" customHeight="false" outlineLevel="0" collapsed="false">
      <c r="A1082" s="24" t="n">
        <v>211770</v>
      </c>
      <c r="B1082" s="32" t="s">
        <v>1252</v>
      </c>
    </row>
    <row r="1083" customFormat="false" ht="14.25" hidden="false" customHeight="false" outlineLevel="0" collapsed="false">
      <c r="A1083" s="24" t="n">
        <v>211780</v>
      </c>
      <c r="B1083" s="32" t="s">
        <v>1253</v>
      </c>
    </row>
    <row r="1084" customFormat="false" ht="14.25" hidden="false" customHeight="false" outlineLevel="0" collapsed="false">
      <c r="A1084" s="24" t="n">
        <v>211790</v>
      </c>
      <c r="B1084" s="32" t="s">
        <v>54</v>
      </c>
    </row>
    <row r="1085" customFormat="false" ht="14.25" hidden="false" customHeight="false" outlineLevel="0" collapsed="false">
      <c r="A1085" s="24" t="n">
        <v>211791</v>
      </c>
      <c r="B1085" s="32" t="s">
        <v>1254</v>
      </c>
    </row>
    <row r="1086" customFormat="false" ht="14.25" hidden="false" customHeight="false" outlineLevel="0" collapsed="false">
      <c r="A1086" s="24" t="n">
        <v>211792</v>
      </c>
      <c r="B1086" s="32" t="s">
        <v>1255</v>
      </c>
    </row>
    <row r="1087" customFormat="false" ht="14.25" hidden="false" customHeight="false" outlineLevel="0" collapsed="false">
      <c r="A1087" s="24" t="n">
        <v>211800</v>
      </c>
      <c r="B1087" s="32" t="s">
        <v>1256</v>
      </c>
    </row>
    <row r="1088" customFormat="false" ht="14.25" hidden="false" customHeight="false" outlineLevel="0" collapsed="false">
      <c r="A1088" s="24" t="n">
        <v>211810</v>
      </c>
      <c r="B1088" s="32" t="s">
        <v>1257</v>
      </c>
    </row>
    <row r="1089" customFormat="false" ht="14.25" hidden="false" customHeight="false" outlineLevel="0" collapsed="false">
      <c r="A1089" s="24" t="n">
        <v>211820</v>
      </c>
      <c r="B1089" s="32" t="s">
        <v>1258</v>
      </c>
    </row>
    <row r="1090" customFormat="false" ht="14.25" hidden="false" customHeight="false" outlineLevel="0" collapsed="false">
      <c r="A1090" s="24" t="n">
        <v>211880</v>
      </c>
      <c r="B1090" s="32" t="s">
        <v>1259</v>
      </c>
    </row>
    <row r="1091" customFormat="false" ht="14.25" hidden="false" customHeight="false" outlineLevel="0" collapsed="false">
      <c r="A1091" s="24" t="n">
        <v>211881</v>
      </c>
      <c r="B1091" s="32" t="s">
        <v>1260</v>
      </c>
    </row>
    <row r="1092" customFormat="false" ht="14.25" hidden="false" customHeight="false" outlineLevel="0" collapsed="false">
      <c r="A1092" s="24" t="n">
        <v>211882</v>
      </c>
      <c r="B1092" s="32" t="s">
        <v>1261</v>
      </c>
    </row>
    <row r="1093" customFormat="false" ht="14.25" hidden="false" customHeight="false" outlineLevel="0" collapsed="false">
      <c r="A1093" s="24" t="n">
        <v>211890</v>
      </c>
      <c r="B1093" s="32" t="s">
        <v>1262</v>
      </c>
    </row>
    <row r="1094" customFormat="false" ht="14.25" hidden="false" customHeight="false" outlineLevel="0" collapsed="false">
      <c r="A1094" s="24" t="n">
        <v>211891</v>
      </c>
      <c r="B1094" s="32" t="s">
        <v>1263</v>
      </c>
    </row>
    <row r="1095" customFormat="false" ht="14.25" hidden="false" customHeight="false" outlineLevel="0" collapsed="false">
      <c r="A1095" s="24" t="n">
        <v>211892</v>
      </c>
      <c r="B1095" s="32" t="s">
        <v>1264</v>
      </c>
    </row>
    <row r="1096" customFormat="false" ht="14.25" hidden="false" customHeight="false" outlineLevel="0" collapsed="false">
      <c r="A1096" s="24" t="n">
        <v>211893</v>
      </c>
      <c r="B1096" s="32" t="s">
        <v>1265</v>
      </c>
    </row>
    <row r="1097" customFormat="false" ht="14.25" hidden="false" customHeight="false" outlineLevel="0" collapsed="false">
      <c r="A1097" s="24" t="n">
        <v>211894</v>
      </c>
      <c r="B1097" s="32" t="s">
        <v>1266</v>
      </c>
    </row>
    <row r="1098" customFormat="false" ht="14.25" hidden="false" customHeight="false" outlineLevel="0" collapsed="false">
      <c r="A1098" s="24" t="n">
        <v>211900</v>
      </c>
      <c r="B1098" s="32" t="s">
        <v>1267</v>
      </c>
    </row>
    <row r="1099" customFormat="false" ht="14.25" hidden="false" customHeight="false" outlineLevel="0" collapsed="false">
      <c r="A1099" s="24" t="n">
        <v>211910</v>
      </c>
      <c r="B1099" s="32" t="s">
        <v>1268</v>
      </c>
    </row>
    <row r="1100" customFormat="false" ht="14.25" hidden="false" customHeight="false" outlineLevel="0" collapsed="false">
      <c r="A1100" s="24" t="n">
        <v>211911</v>
      </c>
      <c r="B1100" s="32" t="s">
        <v>1269</v>
      </c>
    </row>
    <row r="1101" customFormat="false" ht="14.25" hidden="false" customHeight="false" outlineLevel="0" collapsed="false">
      <c r="A1101" s="24" t="n">
        <v>211912</v>
      </c>
      <c r="B1101" s="32" t="s">
        <v>1270</v>
      </c>
    </row>
    <row r="1102" customFormat="false" ht="14.25" hidden="false" customHeight="false" outlineLevel="0" collapsed="false">
      <c r="A1102" s="24" t="n">
        <v>211913</v>
      </c>
      <c r="B1102" s="32" t="s">
        <v>1271</v>
      </c>
    </row>
    <row r="1103" customFormat="false" ht="14.25" hidden="false" customHeight="false" outlineLevel="0" collapsed="false">
      <c r="A1103" s="24" t="n">
        <v>211914</v>
      </c>
      <c r="B1103" s="32" t="s">
        <v>1272</v>
      </c>
    </row>
    <row r="1104" customFormat="false" ht="14.25" hidden="false" customHeight="false" outlineLevel="0" collapsed="false">
      <c r="A1104" s="24" t="n">
        <v>211915</v>
      </c>
      <c r="B1104" s="32" t="s">
        <v>1273</v>
      </c>
    </row>
    <row r="1105" customFormat="false" ht="14.25" hidden="false" customHeight="false" outlineLevel="0" collapsed="false">
      <c r="A1105" s="24" t="n">
        <v>211916</v>
      </c>
      <c r="B1105" s="32" t="s">
        <v>1274</v>
      </c>
    </row>
    <row r="1106" customFormat="false" ht="14.25" hidden="false" customHeight="false" outlineLevel="0" collapsed="false">
      <c r="A1106" s="24" t="n">
        <v>211917</v>
      </c>
      <c r="B1106" s="32" t="s">
        <v>1275</v>
      </c>
    </row>
    <row r="1107" customFormat="false" ht="14.25" hidden="false" customHeight="false" outlineLevel="0" collapsed="false">
      <c r="A1107" s="24" t="n">
        <v>211920</v>
      </c>
      <c r="B1107" s="32" t="s">
        <v>1276</v>
      </c>
    </row>
    <row r="1108" customFormat="false" ht="14.25" hidden="false" customHeight="false" outlineLevel="0" collapsed="false">
      <c r="A1108" s="24" t="n">
        <v>211921</v>
      </c>
      <c r="B1108" s="32" t="s">
        <v>1277</v>
      </c>
    </row>
    <row r="1109" customFormat="false" ht="14.25" hidden="false" customHeight="false" outlineLevel="0" collapsed="false">
      <c r="A1109" s="24" t="n">
        <v>211922</v>
      </c>
      <c r="B1109" s="32" t="s">
        <v>1278</v>
      </c>
    </row>
    <row r="1110" customFormat="false" ht="14.25" hidden="false" customHeight="false" outlineLevel="0" collapsed="false">
      <c r="A1110" s="24" t="n">
        <v>211930</v>
      </c>
      <c r="B1110" s="32" t="s">
        <v>1279</v>
      </c>
    </row>
    <row r="1111" customFormat="false" ht="14.25" hidden="false" customHeight="false" outlineLevel="0" collapsed="false">
      <c r="A1111" s="24" t="n">
        <v>211931</v>
      </c>
      <c r="B1111" s="32" t="s">
        <v>1280</v>
      </c>
    </row>
    <row r="1112" customFormat="false" ht="14.25" hidden="false" customHeight="false" outlineLevel="0" collapsed="false">
      <c r="A1112" s="24" t="n">
        <v>211932</v>
      </c>
      <c r="B1112" s="32" t="s">
        <v>1281</v>
      </c>
    </row>
    <row r="1113" customFormat="false" ht="14.25" hidden="false" customHeight="false" outlineLevel="0" collapsed="false">
      <c r="A1113" s="24" t="n">
        <v>211933</v>
      </c>
      <c r="B1113" s="32" t="s">
        <v>1282</v>
      </c>
    </row>
    <row r="1114" customFormat="false" ht="14.25" hidden="false" customHeight="false" outlineLevel="0" collapsed="false">
      <c r="A1114" s="24" t="n">
        <v>211939</v>
      </c>
      <c r="B1114" s="32" t="s">
        <v>1283</v>
      </c>
    </row>
    <row r="1115" customFormat="false" ht="14.25" hidden="false" customHeight="false" outlineLevel="0" collapsed="false">
      <c r="A1115" s="24" t="n">
        <v>211940</v>
      </c>
      <c r="B1115" s="32" t="s">
        <v>1284</v>
      </c>
    </row>
    <row r="1116" customFormat="false" ht="14.25" hidden="false" customHeight="false" outlineLevel="0" collapsed="false">
      <c r="A1116" s="24" t="n">
        <v>211950</v>
      </c>
      <c r="B1116" s="32" t="s">
        <v>1285</v>
      </c>
    </row>
    <row r="1117" customFormat="false" ht="14.25" hidden="false" customHeight="false" outlineLevel="0" collapsed="false">
      <c r="A1117" s="24" t="n">
        <v>211960</v>
      </c>
      <c r="B1117" s="32" t="s">
        <v>1286</v>
      </c>
    </row>
    <row r="1118" customFormat="false" ht="14.25" hidden="false" customHeight="false" outlineLevel="0" collapsed="false">
      <c r="A1118" s="24" t="n">
        <v>211970</v>
      </c>
      <c r="B1118" s="32" t="s">
        <v>1287</v>
      </c>
    </row>
    <row r="1119" customFormat="false" ht="14.25" hidden="false" customHeight="false" outlineLevel="0" collapsed="false">
      <c r="A1119" s="24" t="n">
        <v>211980</v>
      </c>
      <c r="B1119" s="32" t="s">
        <v>1288</v>
      </c>
    </row>
    <row r="1120" customFormat="false" ht="14.25" hidden="false" customHeight="false" outlineLevel="0" collapsed="false">
      <c r="A1120" s="24" t="n">
        <v>211990</v>
      </c>
      <c r="B1120" s="32" t="s">
        <v>1289</v>
      </c>
    </row>
    <row r="1121" customFormat="false" ht="14.25" hidden="false" customHeight="false" outlineLevel="0" collapsed="false">
      <c r="A1121" s="24" t="n">
        <v>212000</v>
      </c>
      <c r="B1121" s="32" t="s">
        <v>1290</v>
      </c>
    </row>
    <row r="1122" customFormat="false" ht="14.25" hidden="false" customHeight="false" outlineLevel="0" collapsed="false">
      <c r="A1122" s="24" t="n">
        <v>212010</v>
      </c>
      <c r="B1122" s="32" t="s">
        <v>1291</v>
      </c>
    </row>
    <row r="1123" customFormat="false" ht="14.25" hidden="false" customHeight="false" outlineLevel="0" collapsed="false">
      <c r="A1123" s="24" t="n">
        <v>212011</v>
      </c>
      <c r="B1123" s="32" t="s">
        <v>1292</v>
      </c>
    </row>
    <row r="1124" customFormat="false" ht="14.25" hidden="false" customHeight="false" outlineLevel="0" collapsed="false">
      <c r="A1124" s="24" t="n">
        <v>212012</v>
      </c>
      <c r="B1124" s="32" t="s">
        <v>1293</v>
      </c>
    </row>
    <row r="1125" customFormat="false" ht="14.25" hidden="false" customHeight="false" outlineLevel="0" collapsed="false">
      <c r="A1125" s="24" t="n">
        <v>212013</v>
      </c>
      <c r="B1125" s="32" t="s">
        <v>1294</v>
      </c>
    </row>
    <row r="1126" customFormat="false" ht="14.25" hidden="false" customHeight="false" outlineLevel="0" collapsed="false">
      <c r="A1126" s="24" t="n">
        <v>212014</v>
      </c>
      <c r="B1126" s="32" t="s">
        <v>1295</v>
      </c>
    </row>
    <row r="1127" customFormat="false" ht="14.25" hidden="false" customHeight="false" outlineLevel="0" collapsed="false">
      <c r="A1127" s="24" t="n">
        <v>212020</v>
      </c>
      <c r="B1127" s="32" t="s">
        <v>1296</v>
      </c>
    </row>
    <row r="1128" customFormat="false" ht="14.25" hidden="false" customHeight="false" outlineLevel="0" collapsed="false">
      <c r="A1128" s="24" t="n">
        <v>212030</v>
      </c>
      <c r="B1128" s="32" t="s">
        <v>1297</v>
      </c>
    </row>
    <row r="1129" customFormat="false" ht="14.25" hidden="false" customHeight="false" outlineLevel="0" collapsed="false">
      <c r="A1129" s="24" t="n">
        <v>212040</v>
      </c>
      <c r="B1129" s="32" t="s">
        <v>1298</v>
      </c>
    </row>
    <row r="1130" customFormat="false" ht="14.25" hidden="false" customHeight="false" outlineLevel="0" collapsed="false">
      <c r="A1130" s="24" t="n">
        <v>212090</v>
      </c>
      <c r="B1130" s="32" t="s">
        <v>1299</v>
      </c>
    </row>
    <row r="1131" customFormat="false" ht="14.25" hidden="false" customHeight="false" outlineLevel="0" collapsed="false">
      <c r="A1131" s="24" t="n">
        <v>212100</v>
      </c>
      <c r="B1131" s="32" t="s">
        <v>1014</v>
      </c>
    </row>
    <row r="1132" customFormat="false" ht="14.25" hidden="false" customHeight="false" outlineLevel="0" collapsed="false">
      <c r="A1132" s="24" t="n">
        <v>212110</v>
      </c>
      <c r="B1132" s="32" t="s">
        <v>1300</v>
      </c>
    </row>
    <row r="1133" customFormat="false" ht="14.25" hidden="false" customHeight="false" outlineLevel="0" collapsed="false">
      <c r="A1133" s="24" t="n">
        <v>212111</v>
      </c>
      <c r="B1133" s="32" t="s">
        <v>1301</v>
      </c>
    </row>
    <row r="1134" customFormat="false" ht="14.25" hidden="false" customHeight="false" outlineLevel="0" collapsed="false">
      <c r="A1134" s="24" t="n">
        <v>212120</v>
      </c>
      <c r="B1134" s="32" t="s">
        <v>1302</v>
      </c>
    </row>
    <row r="1135" customFormat="false" ht="14.25" hidden="false" customHeight="false" outlineLevel="0" collapsed="false">
      <c r="A1135" s="24" t="n">
        <v>212162</v>
      </c>
      <c r="B1135" s="32" t="s">
        <v>1303</v>
      </c>
    </row>
    <row r="1136" customFormat="false" ht="14.25" hidden="false" customHeight="false" outlineLevel="0" collapsed="false">
      <c r="A1136" s="24" t="n">
        <v>212200</v>
      </c>
      <c r="B1136" s="32" t="s">
        <v>1304</v>
      </c>
    </row>
    <row r="1137" customFormat="false" ht="14.25" hidden="false" customHeight="false" outlineLevel="0" collapsed="false">
      <c r="A1137" s="24" t="n">
        <v>212210</v>
      </c>
      <c r="B1137" s="32" t="s">
        <v>1305</v>
      </c>
    </row>
    <row r="1138" customFormat="false" ht="14.25" hidden="false" customHeight="false" outlineLevel="0" collapsed="false">
      <c r="A1138" s="24" t="n">
        <v>212220</v>
      </c>
      <c r="B1138" s="32" t="s">
        <v>1306</v>
      </c>
    </row>
    <row r="1139" customFormat="false" ht="14.25" hidden="false" customHeight="false" outlineLevel="0" collapsed="false">
      <c r="A1139" s="24" t="n">
        <v>212300</v>
      </c>
      <c r="B1139" s="32" t="s">
        <v>1307</v>
      </c>
    </row>
    <row r="1140" customFormat="false" ht="14.25" hidden="false" customHeight="false" outlineLevel="0" collapsed="false">
      <c r="A1140" s="24" t="n">
        <v>212310</v>
      </c>
      <c r="B1140" s="32" t="s">
        <v>1308</v>
      </c>
    </row>
    <row r="1141" customFormat="false" ht="14.25" hidden="false" customHeight="false" outlineLevel="0" collapsed="false">
      <c r="A1141" s="24" t="n">
        <v>212400</v>
      </c>
      <c r="B1141" s="32" t="s">
        <v>1309</v>
      </c>
    </row>
    <row r="1142" customFormat="false" ht="14.25" hidden="false" customHeight="false" outlineLevel="0" collapsed="false">
      <c r="A1142" s="24" t="n">
        <v>212410</v>
      </c>
      <c r="B1142" s="32" t="s">
        <v>1310</v>
      </c>
    </row>
    <row r="1143" customFormat="false" ht="14.25" hidden="false" customHeight="false" outlineLevel="0" collapsed="false">
      <c r="A1143" s="24" t="n">
        <v>212411</v>
      </c>
      <c r="B1143" s="32" t="s">
        <v>1311</v>
      </c>
    </row>
    <row r="1144" customFormat="false" ht="14.25" hidden="false" customHeight="false" outlineLevel="0" collapsed="false">
      <c r="A1144" s="24" t="n">
        <v>212412</v>
      </c>
      <c r="B1144" s="32" t="s">
        <v>1312</v>
      </c>
    </row>
    <row r="1145" customFormat="false" ht="14.25" hidden="false" customHeight="false" outlineLevel="0" collapsed="false">
      <c r="A1145" s="24" t="n">
        <v>212420</v>
      </c>
      <c r="B1145" s="32" t="s">
        <v>1313</v>
      </c>
    </row>
    <row r="1146" customFormat="false" ht="14.25" hidden="false" customHeight="false" outlineLevel="0" collapsed="false">
      <c r="A1146" s="24" t="n">
        <v>212421</v>
      </c>
      <c r="B1146" s="32" t="s">
        <v>1314</v>
      </c>
    </row>
    <row r="1147" customFormat="false" ht="14.25" hidden="false" customHeight="false" outlineLevel="0" collapsed="false">
      <c r="A1147" s="24" t="n">
        <v>212430</v>
      </c>
      <c r="B1147" s="32" t="s">
        <v>1315</v>
      </c>
    </row>
    <row r="1148" customFormat="false" ht="14.25" hidden="false" customHeight="false" outlineLevel="0" collapsed="false">
      <c r="A1148" s="24" t="n">
        <v>212440</v>
      </c>
      <c r="B1148" s="32" t="s">
        <v>1316</v>
      </c>
    </row>
    <row r="1149" customFormat="false" ht="14.25" hidden="false" customHeight="false" outlineLevel="0" collapsed="false">
      <c r="A1149" s="24" t="n">
        <v>212450</v>
      </c>
      <c r="B1149" s="32" t="s">
        <v>1317</v>
      </c>
    </row>
    <row r="1150" customFormat="false" ht="14.25" hidden="false" customHeight="false" outlineLevel="0" collapsed="false">
      <c r="A1150" s="24" t="n">
        <v>212460</v>
      </c>
      <c r="B1150" s="32" t="s">
        <v>1318</v>
      </c>
    </row>
    <row r="1151" customFormat="false" ht="14.25" hidden="false" customHeight="false" outlineLevel="0" collapsed="false">
      <c r="A1151" s="24" t="n">
        <v>212490</v>
      </c>
      <c r="B1151" s="32" t="s">
        <v>1319</v>
      </c>
    </row>
    <row r="1152" customFormat="false" ht="14.25" hidden="false" customHeight="false" outlineLevel="0" collapsed="false">
      <c r="A1152" s="24" t="n">
        <v>212500</v>
      </c>
      <c r="B1152" s="32" t="s">
        <v>1320</v>
      </c>
    </row>
    <row r="1153" customFormat="false" ht="14.25" hidden="false" customHeight="false" outlineLevel="0" collapsed="false">
      <c r="A1153" s="24" t="n">
        <v>212510</v>
      </c>
      <c r="B1153" s="32" t="s">
        <v>1321</v>
      </c>
    </row>
    <row r="1154" customFormat="false" ht="14.25" hidden="false" customHeight="false" outlineLevel="0" collapsed="false">
      <c r="A1154" s="24" t="n">
        <v>212520</v>
      </c>
      <c r="B1154" s="32" t="s">
        <v>1322</v>
      </c>
    </row>
    <row r="1155" customFormat="false" ht="14.25" hidden="false" customHeight="false" outlineLevel="0" collapsed="false">
      <c r="A1155" s="24" t="n">
        <v>212530</v>
      </c>
      <c r="B1155" s="32" t="s">
        <v>1323</v>
      </c>
    </row>
    <row r="1156" customFormat="false" ht="14.25" hidden="false" customHeight="false" outlineLevel="0" collapsed="false">
      <c r="A1156" s="24" t="n">
        <v>212600</v>
      </c>
      <c r="B1156" s="32" t="s">
        <v>1324</v>
      </c>
    </row>
    <row r="1157" customFormat="false" ht="14.25" hidden="false" customHeight="false" outlineLevel="0" collapsed="false">
      <c r="A1157" s="24" t="n">
        <v>212610</v>
      </c>
      <c r="B1157" s="32" t="s">
        <v>1325</v>
      </c>
    </row>
    <row r="1158" customFormat="false" ht="14.25" hidden="false" customHeight="false" outlineLevel="0" collapsed="false">
      <c r="A1158" s="24" t="n">
        <v>212611</v>
      </c>
      <c r="B1158" s="32" t="s">
        <v>1326</v>
      </c>
    </row>
    <row r="1159" customFormat="false" ht="14.25" hidden="false" customHeight="false" outlineLevel="0" collapsed="false">
      <c r="A1159" s="24" t="n">
        <v>212620</v>
      </c>
      <c r="B1159" s="32" t="s">
        <v>1327</v>
      </c>
    </row>
    <row r="1160" customFormat="false" ht="14.25" hidden="false" customHeight="false" outlineLevel="0" collapsed="false">
      <c r="A1160" s="24" t="n">
        <v>212630</v>
      </c>
      <c r="B1160" s="32" t="s">
        <v>1328</v>
      </c>
    </row>
    <row r="1161" customFormat="false" ht="14.25" hidden="false" customHeight="false" outlineLevel="0" collapsed="false">
      <c r="A1161" s="24" t="n">
        <v>212640</v>
      </c>
      <c r="B1161" s="32" t="s">
        <v>1329</v>
      </c>
    </row>
    <row r="1162" customFormat="false" ht="14.25" hidden="false" customHeight="false" outlineLevel="0" collapsed="false">
      <c r="A1162" s="24" t="n">
        <v>212641</v>
      </c>
      <c r="B1162" s="32" t="s">
        <v>1330</v>
      </c>
    </row>
    <row r="1163" customFormat="false" ht="14.25" hidden="false" customHeight="false" outlineLevel="0" collapsed="false">
      <c r="A1163" s="24" t="n">
        <v>212650</v>
      </c>
      <c r="B1163" s="32" t="s">
        <v>1331</v>
      </c>
    </row>
    <row r="1164" customFormat="false" ht="14.25" hidden="false" customHeight="false" outlineLevel="0" collapsed="false">
      <c r="A1164" s="24" t="n">
        <v>212660</v>
      </c>
      <c r="B1164" s="32" t="s">
        <v>1332</v>
      </c>
    </row>
    <row r="1165" customFormat="false" ht="14.25" hidden="false" customHeight="false" outlineLevel="0" collapsed="false">
      <c r="A1165" s="24" t="n">
        <v>212670</v>
      </c>
      <c r="B1165" s="32" t="s">
        <v>1333</v>
      </c>
    </row>
    <row r="1166" customFormat="false" ht="14.25" hidden="false" customHeight="false" outlineLevel="0" collapsed="false">
      <c r="A1166" s="24" t="n">
        <v>212671</v>
      </c>
      <c r="B1166" s="32" t="s">
        <v>1334</v>
      </c>
    </row>
    <row r="1167" customFormat="false" ht="14.25" hidden="false" customHeight="false" outlineLevel="0" collapsed="false">
      <c r="A1167" s="24" t="n">
        <v>212680</v>
      </c>
      <c r="B1167" s="32" t="s">
        <v>1335</v>
      </c>
    </row>
    <row r="1168" customFormat="false" ht="14.25" hidden="false" customHeight="false" outlineLevel="0" collapsed="false">
      <c r="A1168" s="24" t="n">
        <v>212690</v>
      </c>
      <c r="B1168" s="32" t="s">
        <v>1336</v>
      </c>
    </row>
    <row r="1169" customFormat="false" ht="14.25" hidden="false" customHeight="false" outlineLevel="0" collapsed="false">
      <c r="A1169" s="24" t="n">
        <v>212700</v>
      </c>
      <c r="B1169" s="32" t="s">
        <v>1337</v>
      </c>
    </row>
    <row r="1170" customFormat="false" ht="14.25" hidden="false" customHeight="false" outlineLevel="0" collapsed="false">
      <c r="A1170" s="24" t="n">
        <v>212710</v>
      </c>
      <c r="B1170" s="32" t="s">
        <v>1338</v>
      </c>
    </row>
    <row r="1171" customFormat="false" ht="14.25" hidden="false" customHeight="false" outlineLevel="0" collapsed="false">
      <c r="A1171" s="24" t="n">
        <v>212720</v>
      </c>
      <c r="B1171" s="32" t="s">
        <v>1339</v>
      </c>
    </row>
    <row r="1172" customFormat="false" ht="14.25" hidden="false" customHeight="false" outlineLevel="0" collapsed="false">
      <c r="A1172" s="24" t="n">
        <v>212730</v>
      </c>
      <c r="B1172" s="32" t="s">
        <v>1340</v>
      </c>
    </row>
    <row r="1173" customFormat="false" ht="14.25" hidden="false" customHeight="false" outlineLevel="0" collapsed="false">
      <c r="A1173" s="24" t="n">
        <v>212800</v>
      </c>
      <c r="B1173" s="32" t="s">
        <v>1341</v>
      </c>
    </row>
    <row r="1174" customFormat="false" ht="14.25" hidden="false" customHeight="false" outlineLevel="0" collapsed="false">
      <c r="A1174" s="24" t="n">
        <v>212810</v>
      </c>
      <c r="B1174" s="32" t="s">
        <v>1342</v>
      </c>
    </row>
    <row r="1175" customFormat="false" ht="14.25" hidden="false" customHeight="false" outlineLevel="0" collapsed="false">
      <c r="A1175" s="24" t="n">
        <v>212820</v>
      </c>
      <c r="B1175" s="32" t="s">
        <v>1343</v>
      </c>
    </row>
    <row r="1176" customFormat="false" ht="14.25" hidden="false" customHeight="false" outlineLevel="0" collapsed="false">
      <c r="A1176" s="24" t="n">
        <v>212830</v>
      </c>
      <c r="B1176" s="32" t="s">
        <v>1344</v>
      </c>
    </row>
    <row r="1177" customFormat="false" ht="14.25" hidden="false" customHeight="false" outlineLevel="0" collapsed="false">
      <c r="A1177" s="24" t="n">
        <v>212900</v>
      </c>
      <c r="B1177" s="32" t="s">
        <v>1345</v>
      </c>
    </row>
    <row r="1178" customFormat="false" ht="14.25" hidden="false" customHeight="false" outlineLevel="0" collapsed="false">
      <c r="A1178" s="24" t="n">
        <v>212910</v>
      </c>
      <c r="B1178" s="32" t="s">
        <v>1346</v>
      </c>
    </row>
    <row r="1179" customFormat="false" ht="14.25" hidden="false" customHeight="false" outlineLevel="0" collapsed="false">
      <c r="A1179" s="24" t="n">
        <v>212920</v>
      </c>
      <c r="B1179" s="32" t="s">
        <v>1347</v>
      </c>
    </row>
    <row r="1180" customFormat="false" ht="14.25" hidden="false" customHeight="false" outlineLevel="0" collapsed="false">
      <c r="A1180" s="24" t="n">
        <v>212930</v>
      </c>
      <c r="B1180" s="32" t="s">
        <v>1348</v>
      </c>
    </row>
    <row r="1181" customFormat="false" ht="14.25" hidden="false" customHeight="false" outlineLevel="0" collapsed="false">
      <c r="A1181" s="24" t="n">
        <v>212940</v>
      </c>
      <c r="B1181" s="32" t="s">
        <v>1349</v>
      </c>
    </row>
    <row r="1182" customFormat="false" ht="14.25" hidden="false" customHeight="false" outlineLevel="0" collapsed="false">
      <c r="A1182" s="24" t="n">
        <v>212950</v>
      </c>
      <c r="B1182" s="32" t="s">
        <v>1350</v>
      </c>
    </row>
    <row r="1183" customFormat="false" ht="14.25" hidden="false" customHeight="false" outlineLevel="0" collapsed="false">
      <c r="A1183" s="24" t="n">
        <v>212951</v>
      </c>
      <c r="B1183" s="32" t="s">
        <v>1351</v>
      </c>
    </row>
    <row r="1184" customFormat="false" ht="14.25" hidden="false" customHeight="false" outlineLevel="0" collapsed="false">
      <c r="A1184" s="24" t="n">
        <v>212960</v>
      </c>
      <c r="B1184" s="32" t="s">
        <v>1352</v>
      </c>
    </row>
    <row r="1185" customFormat="false" ht="14.25" hidden="false" customHeight="false" outlineLevel="0" collapsed="false">
      <c r="A1185" s="24" t="n">
        <v>212970</v>
      </c>
      <c r="B1185" s="32" t="s">
        <v>1353</v>
      </c>
    </row>
    <row r="1186" customFormat="false" ht="14.25" hidden="false" customHeight="false" outlineLevel="0" collapsed="false">
      <c r="A1186" s="24" t="n">
        <v>212980</v>
      </c>
      <c r="B1186" s="32" t="s">
        <v>1354</v>
      </c>
    </row>
    <row r="1187" customFormat="false" ht="14.25" hidden="false" customHeight="false" outlineLevel="0" collapsed="false">
      <c r="A1187" s="24" t="n">
        <v>212990</v>
      </c>
      <c r="B1187" s="32" t="s">
        <v>1355</v>
      </c>
    </row>
    <row r="1188" customFormat="false" ht="14.25" hidden="false" customHeight="false" outlineLevel="0" collapsed="false">
      <c r="A1188" s="24" t="n">
        <v>213100</v>
      </c>
      <c r="B1188" s="32" t="s">
        <v>1356</v>
      </c>
    </row>
    <row r="1189" customFormat="false" ht="14.25" hidden="false" customHeight="false" outlineLevel="0" collapsed="false">
      <c r="A1189" s="24" t="n">
        <v>213110</v>
      </c>
      <c r="B1189" s="32" t="s">
        <v>1357</v>
      </c>
    </row>
    <row r="1190" customFormat="false" ht="14.25" hidden="false" customHeight="false" outlineLevel="0" collapsed="false">
      <c r="A1190" s="24" t="n">
        <v>213111</v>
      </c>
      <c r="B1190" s="32" t="s">
        <v>1358</v>
      </c>
    </row>
    <row r="1191" customFormat="false" ht="14.25" hidden="false" customHeight="false" outlineLevel="0" collapsed="false">
      <c r="A1191" s="24" t="n">
        <v>213112</v>
      </c>
      <c r="B1191" s="32" t="s">
        <v>1359</v>
      </c>
    </row>
    <row r="1192" customFormat="false" ht="14.25" hidden="false" customHeight="false" outlineLevel="0" collapsed="false">
      <c r="A1192" s="24" t="n">
        <v>213113</v>
      </c>
      <c r="B1192" s="32" t="s">
        <v>1360</v>
      </c>
    </row>
    <row r="1193" customFormat="false" ht="14.25" hidden="false" customHeight="false" outlineLevel="0" collapsed="false">
      <c r="A1193" s="24" t="n">
        <v>213114</v>
      </c>
      <c r="B1193" s="32" t="s">
        <v>1361</v>
      </c>
    </row>
    <row r="1194" customFormat="false" ht="14.25" hidden="false" customHeight="false" outlineLevel="0" collapsed="false">
      <c r="A1194" s="24" t="n">
        <v>213120</v>
      </c>
      <c r="B1194" s="32" t="s">
        <v>1362</v>
      </c>
    </row>
    <row r="1195" customFormat="false" ht="14.25" hidden="false" customHeight="false" outlineLevel="0" collapsed="false">
      <c r="A1195" s="24" t="n">
        <v>213190</v>
      </c>
      <c r="B1195" s="32" t="s">
        <v>1363</v>
      </c>
    </row>
    <row r="1196" customFormat="false" ht="14.25" hidden="false" customHeight="false" outlineLevel="0" collapsed="false">
      <c r="A1196" s="24" t="n">
        <v>213200</v>
      </c>
      <c r="B1196" s="32" t="s">
        <v>1364</v>
      </c>
    </row>
    <row r="1197" customFormat="false" ht="14.25" hidden="false" customHeight="false" outlineLevel="0" collapsed="false">
      <c r="A1197" s="24" t="n">
        <v>213210</v>
      </c>
      <c r="B1197" s="32" t="s">
        <v>1365</v>
      </c>
    </row>
    <row r="1198" customFormat="false" ht="14.25" hidden="false" customHeight="false" outlineLevel="0" collapsed="false">
      <c r="A1198" s="24" t="n">
        <v>213211</v>
      </c>
      <c r="B1198" s="32" t="s">
        <v>1366</v>
      </c>
    </row>
    <row r="1199" customFormat="false" ht="14.25" hidden="false" customHeight="false" outlineLevel="0" collapsed="false">
      <c r="A1199" s="24" t="n">
        <v>213212</v>
      </c>
      <c r="B1199" s="32" t="s">
        <v>1367</v>
      </c>
    </row>
    <row r="1200" customFormat="false" ht="14.25" hidden="false" customHeight="false" outlineLevel="0" collapsed="false">
      <c r="A1200" s="24" t="n">
        <v>213213</v>
      </c>
      <c r="B1200" s="32" t="s">
        <v>1368</v>
      </c>
    </row>
    <row r="1201" customFormat="false" ht="14.25" hidden="false" customHeight="false" outlineLevel="0" collapsed="false">
      <c r="A1201" s="24" t="n">
        <v>213214</v>
      </c>
      <c r="B1201" s="32" t="s">
        <v>1369</v>
      </c>
    </row>
    <row r="1202" customFormat="false" ht="14.25" hidden="false" customHeight="false" outlineLevel="0" collapsed="false">
      <c r="A1202" s="24" t="n">
        <v>213215</v>
      </c>
      <c r="B1202" s="32" t="s">
        <v>1370</v>
      </c>
    </row>
    <row r="1203" customFormat="false" ht="14.25" hidden="false" customHeight="false" outlineLevel="0" collapsed="false">
      <c r="A1203" s="24" t="n">
        <v>213216</v>
      </c>
      <c r="B1203" s="32" t="s">
        <v>1371</v>
      </c>
    </row>
    <row r="1204" customFormat="false" ht="14.25" hidden="false" customHeight="false" outlineLevel="0" collapsed="false">
      <c r="A1204" s="24" t="n">
        <v>213217</v>
      </c>
      <c r="B1204" s="32" t="s">
        <v>1372</v>
      </c>
    </row>
    <row r="1205" customFormat="false" ht="14.25" hidden="false" customHeight="false" outlineLevel="0" collapsed="false">
      <c r="A1205" s="24" t="n">
        <v>213218</v>
      </c>
      <c r="B1205" s="32" t="s">
        <v>1373</v>
      </c>
    </row>
    <row r="1206" customFormat="false" ht="14.25" hidden="false" customHeight="false" outlineLevel="0" collapsed="false">
      <c r="A1206" s="24" t="n">
        <v>213219</v>
      </c>
      <c r="B1206" s="32" t="s">
        <v>1374</v>
      </c>
    </row>
    <row r="1207" customFormat="false" ht="14.25" hidden="false" customHeight="false" outlineLevel="0" collapsed="false">
      <c r="A1207" s="24" t="n">
        <v>213220</v>
      </c>
      <c r="B1207" s="32" t="s">
        <v>1375</v>
      </c>
    </row>
    <row r="1208" customFormat="false" ht="14.25" hidden="false" customHeight="false" outlineLevel="0" collapsed="false">
      <c r="A1208" s="24" t="n">
        <v>213221</v>
      </c>
      <c r="B1208" s="32" t="s">
        <v>1376</v>
      </c>
    </row>
    <row r="1209" customFormat="false" ht="14.25" hidden="false" customHeight="false" outlineLevel="0" collapsed="false">
      <c r="A1209" s="24" t="n">
        <v>213230</v>
      </c>
      <c r="B1209" s="32" t="s">
        <v>1377</v>
      </c>
    </row>
    <row r="1210" customFormat="false" ht="14.25" hidden="false" customHeight="false" outlineLevel="0" collapsed="false">
      <c r="A1210" s="24" t="n">
        <v>213231</v>
      </c>
      <c r="B1210" s="32" t="s">
        <v>1378</v>
      </c>
    </row>
    <row r="1211" customFormat="false" ht="14.25" hidden="false" customHeight="false" outlineLevel="0" collapsed="false">
      <c r="A1211" s="24" t="n">
        <v>213240</v>
      </c>
      <c r="B1211" s="32" t="s">
        <v>1379</v>
      </c>
    </row>
    <row r="1212" customFormat="false" ht="14.25" hidden="false" customHeight="false" outlineLevel="0" collapsed="false">
      <c r="A1212" s="24" t="n">
        <v>213250</v>
      </c>
      <c r="B1212" s="32" t="s">
        <v>1380</v>
      </c>
    </row>
    <row r="1213" customFormat="false" ht="14.25" hidden="false" customHeight="false" outlineLevel="0" collapsed="false">
      <c r="A1213" s="24" t="n">
        <v>213260</v>
      </c>
      <c r="B1213" s="32" t="s">
        <v>1381</v>
      </c>
    </row>
    <row r="1214" customFormat="false" ht="14.25" hidden="false" customHeight="false" outlineLevel="0" collapsed="false">
      <c r="A1214" s="24" t="n">
        <v>213270</v>
      </c>
      <c r="B1214" s="32" t="s">
        <v>1382</v>
      </c>
    </row>
    <row r="1215" customFormat="false" ht="14.25" hidden="false" customHeight="false" outlineLevel="0" collapsed="false">
      <c r="A1215" s="24" t="n">
        <v>213280</v>
      </c>
      <c r="B1215" s="32" t="s">
        <v>1383</v>
      </c>
    </row>
    <row r="1216" customFormat="false" ht="14.25" hidden="false" customHeight="false" outlineLevel="0" collapsed="false">
      <c r="A1216" s="24" t="n">
        <v>213300</v>
      </c>
      <c r="B1216" s="32" t="s">
        <v>1384</v>
      </c>
    </row>
    <row r="1217" customFormat="false" ht="14.25" hidden="false" customHeight="false" outlineLevel="0" collapsed="false">
      <c r="A1217" s="24" t="n">
        <v>213310</v>
      </c>
      <c r="B1217" s="32" t="s">
        <v>1385</v>
      </c>
    </row>
    <row r="1218" customFormat="false" ht="14.25" hidden="false" customHeight="false" outlineLevel="0" collapsed="false">
      <c r="A1218" s="24" t="n">
        <v>213400</v>
      </c>
      <c r="B1218" s="32" t="s">
        <v>1386</v>
      </c>
    </row>
    <row r="1219" customFormat="false" ht="14.25" hidden="false" customHeight="false" outlineLevel="0" collapsed="false">
      <c r="A1219" s="24" t="n">
        <v>214200</v>
      </c>
      <c r="B1219" s="32" t="s">
        <v>1387</v>
      </c>
    </row>
    <row r="1220" customFormat="false" ht="14.25" hidden="false" customHeight="false" outlineLevel="0" collapsed="false">
      <c r="A1220" s="24" t="n">
        <v>214300</v>
      </c>
      <c r="B1220" s="32" t="s">
        <v>1388</v>
      </c>
    </row>
    <row r="1221" customFormat="false" ht="14.25" hidden="false" customHeight="false" outlineLevel="0" collapsed="false">
      <c r="A1221" s="24" t="n">
        <v>214400</v>
      </c>
      <c r="B1221" s="32" t="s">
        <v>1389</v>
      </c>
    </row>
    <row r="1222" customFormat="false" ht="14.25" hidden="false" customHeight="false" outlineLevel="0" collapsed="false">
      <c r="A1222" s="24" t="n">
        <v>214410</v>
      </c>
      <c r="B1222" s="32" t="s">
        <v>1390</v>
      </c>
    </row>
    <row r="1223" customFormat="false" ht="14.25" hidden="false" customHeight="false" outlineLevel="0" collapsed="false">
      <c r="A1223" s="24" t="n">
        <v>214500</v>
      </c>
      <c r="B1223" s="32" t="s">
        <v>1391</v>
      </c>
    </row>
    <row r="1224" customFormat="false" ht="14.25" hidden="false" customHeight="false" outlineLevel="0" collapsed="false">
      <c r="A1224" s="24" t="n">
        <v>214510</v>
      </c>
      <c r="B1224" s="32" t="s">
        <v>1392</v>
      </c>
    </row>
    <row r="1225" customFormat="false" ht="14.25" hidden="false" customHeight="false" outlineLevel="0" collapsed="false">
      <c r="A1225" s="24" t="n">
        <v>214520</v>
      </c>
      <c r="B1225" s="32" t="s">
        <v>1393</v>
      </c>
    </row>
    <row r="1226" customFormat="false" ht="14.25" hidden="false" customHeight="false" outlineLevel="0" collapsed="false">
      <c r="A1226" s="24" t="n">
        <v>214530</v>
      </c>
      <c r="B1226" s="32" t="s">
        <v>1394</v>
      </c>
    </row>
    <row r="1227" customFormat="false" ht="14.25" hidden="false" customHeight="false" outlineLevel="0" collapsed="false">
      <c r="A1227" s="24" t="n">
        <v>214600</v>
      </c>
      <c r="B1227" s="32" t="s">
        <v>1395</v>
      </c>
    </row>
    <row r="1228" customFormat="false" ht="14.25" hidden="false" customHeight="false" outlineLevel="0" collapsed="false">
      <c r="A1228" s="24" t="n">
        <v>214700</v>
      </c>
      <c r="B1228" s="32" t="s">
        <v>1396</v>
      </c>
    </row>
    <row r="1229" customFormat="false" ht="14.25" hidden="false" customHeight="false" outlineLevel="0" collapsed="false">
      <c r="A1229" s="24" t="n">
        <v>214800</v>
      </c>
      <c r="B1229" s="32" t="s">
        <v>1397</v>
      </c>
    </row>
    <row r="1230" customFormat="false" ht="14.25" hidden="false" customHeight="false" outlineLevel="0" collapsed="false">
      <c r="A1230" s="24" t="n">
        <v>214900</v>
      </c>
      <c r="B1230" s="32" t="s">
        <v>1398</v>
      </c>
    </row>
    <row r="1231" customFormat="false" ht="14.25" hidden="false" customHeight="false" outlineLevel="0" collapsed="false">
      <c r="A1231" s="24" t="n">
        <v>215000</v>
      </c>
      <c r="B1231" s="32" t="s">
        <v>1399</v>
      </c>
    </row>
    <row r="1232" customFormat="false" ht="14.25" hidden="false" customHeight="false" outlineLevel="0" collapsed="false">
      <c r="A1232" s="24" t="n">
        <v>215100</v>
      </c>
      <c r="B1232" s="32" t="s">
        <v>1400</v>
      </c>
    </row>
    <row r="1233" customFormat="false" ht="14.25" hidden="false" customHeight="false" outlineLevel="0" collapsed="false">
      <c r="A1233" s="24" t="n">
        <v>215200</v>
      </c>
      <c r="B1233" s="32" t="s">
        <v>1401</v>
      </c>
    </row>
    <row r="1234" customFormat="false" ht="14.25" hidden="false" customHeight="false" outlineLevel="0" collapsed="false">
      <c r="A1234" s="24" t="n">
        <v>215300</v>
      </c>
      <c r="B1234" s="32" t="s">
        <v>1402</v>
      </c>
    </row>
    <row r="1235" customFormat="false" ht="14.25" hidden="false" customHeight="false" outlineLevel="0" collapsed="false">
      <c r="A1235" s="24" t="n">
        <v>215400</v>
      </c>
      <c r="B1235" s="32" t="s">
        <v>1403</v>
      </c>
    </row>
    <row r="1236" customFormat="false" ht="14.25" hidden="false" customHeight="false" outlineLevel="0" collapsed="false">
      <c r="A1236" s="24" t="n">
        <v>216000</v>
      </c>
      <c r="B1236" s="32" t="s">
        <v>1404</v>
      </c>
    </row>
    <row r="1237" customFormat="false" ht="14.25" hidden="false" customHeight="false" outlineLevel="0" collapsed="false">
      <c r="A1237" s="24" t="n">
        <v>217000</v>
      </c>
      <c r="B1237" s="32" t="s">
        <v>1405</v>
      </c>
    </row>
    <row r="1238" customFormat="false" ht="14.25" hidden="false" customHeight="false" outlineLevel="0" collapsed="false">
      <c r="A1238" s="24" t="n">
        <v>217100</v>
      </c>
      <c r="B1238" s="32" t="s">
        <v>1406</v>
      </c>
    </row>
    <row r="1239" customFormat="false" ht="14.25" hidden="false" customHeight="false" outlineLevel="0" collapsed="false">
      <c r="A1239" s="24" t="n">
        <v>217200</v>
      </c>
      <c r="B1239" s="32" t="s">
        <v>1407</v>
      </c>
    </row>
    <row r="1240" customFormat="false" ht="14.25" hidden="false" customHeight="false" outlineLevel="0" collapsed="false">
      <c r="A1240" s="24" t="n">
        <v>217300</v>
      </c>
      <c r="B1240" s="32" t="s">
        <v>1408</v>
      </c>
    </row>
    <row r="1241" customFormat="false" ht="14.25" hidden="false" customHeight="false" outlineLevel="0" collapsed="false">
      <c r="A1241" s="24" t="n">
        <v>217310</v>
      </c>
      <c r="B1241" s="32" t="s">
        <v>1409</v>
      </c>
    </row>
    <row r="1242" customFormat="false" ht="14.25" hidden="false" customHeight="false" outlineLevel="0" collapsed="false">
      <c r="A1242" s="24" t="n">
        <v>217370</v>
      </c>
      <c r="B1242" s="32" t="s">
        <v>1410</v>
      </c>
    </row>
    <row r="1243" customFormat="false" ht="14.25" hidden="false" customHeight="false" outlineLevel="0" collapsed="false">
      <c r="A1243" s="24" t="n">
        <v>217400</v>
      </c>
      <c r="B1243" s="32" t="s">
        <v>1411</v>
      </c>
    </row>
    <row r="1244" customFormat="false" ht="14.25" hidden="false" customHeight="false" outlineLevel="0" collapsed="false">
      <c r="A1244" s="24" t="n">
        <v>217500</v>
      </c>
      <c r="B1244" s="32" t="s">
        <v>1412</v>
      </c>
    </row>
    <row r="1245" customFormat="false" ht="14.25" hidden="false" customHeight="false" outlineLevel="0" collapsed="false">
      <c r="A1245" s="24" t="n">
        <v>217600</v>
      </c>
      <c r="B1245" s="32" t="s">
        <v>1413</v>
      </c>
    </row>
    <row r="1246" customFormat="false" ht="14.25" hidden="false" customHeight="false" outlineLevel="0" collapsed="false">
      <c r="A1246" s="24" t="n">
        <v>217700</v>
      </c>
      <c r="B1246" s="32" t="s">
        <v>1414</v>
      </c>
    </row>
    <row r="1247" customFormat="false" ht="14.25" hidden="false" customHeight="false" outlineLevel="0" collapsed="false">
      <c r="A1247" s="24" t="n">
        <v>217800</v>
      </c>
      <c r="B1247" s="32" t="s">
        <v>1415</v>
      </c>
    </row>
    <row r="1248" customFormat="false" ht="14.25" hidden="false" customHeight="false" outlineLevel="0" collapsed="false">
      <c r="A1248" s="24" t="n">
        <v>218000</v>
      </c>
      <c r="B1248" s="32" t="s">
        <v>1416</v>
      </c>
    </row>
    <row r="1249" customFormat="false" ht="14.25" hidden="false" customHeight="false" outlineLevel="0" collapsed="false">
      <c r="A1249" s="24" t="n">
        <v>218010</v>
      </c>
      <c r="B1249" s="32" t="s">
        <v>1417</v>
      </c>
    </row>
    <row r="1250" customFormat="false" ht="14.25" hidden="false" customHeight="false" outlineLevel="0" collapsed="false">
      <c r="A1250" s="24" t="n">
        <v>218020</v>
      </c>
      <c r="B1250" s="32" t="s">
        <v>1418</v>
      </c>
    </row>
    <row r="1251" customFormat="false" ht="14.25" hidden="false" customHeight="false" outlineLevel="0" collapsed="false">
      <c r="A1251" s="24" t="n">
        <v>218030</v>
      </c>
      <c r="B1251" s="32" t="s">
        <v>1419</v>
      </c>
    </row>
    <row r="1252" customFormat="false" ht="14.25" hidden="false" customHeight="false" outlineLevel="0" collapsed="false">
      <c r="A1252" s="24" t="n">
        <v>218100</v>
      </c>
      <c r="B1252" s="32" t="s">
        <v>1420</v>
      </c>
    </row>
    <row r="1253" customFormat="false" ht="14.25" hidden="false" customHeight="false" outlineLevel="0" collapsed="false">
      <c r="A1253" s="24" t="n">
        <v>218110</v>
      </c>
      <c r="B1253" s="32" t="s">
        <v>1421</v>
      </c>
    </row>
    <row r="1254" customFormat="false" ht="14.25" hidden="false" customHeight="false" outlineLevel="0" collapsed="false">
      <c r="A1254" s="24" t="n">
        <v>218200</v>
      </c>
      <c r="B1254" s="32" t="s">
        <v>1422</v>
      </c>
    </row>
    <row r="1255" customFormat="false" ht="14.25" hidden="false" customHeight="false" outlineLevel="0" collapsed="false">
      <c r="A1255" s="24" t="n">
        <v>218830</v>
      </c>
      <c r="B1255" s="32" t="s">
        <v>1423</v>
      </c>
    </row>
    <row r="1256" customFormat="false" ht="14.25" hidden="false" customHeight="false" outlineLevel="0" collapsed="false">
      <c r="A1256" s="24" t="n">
        <v>218840</v>
      </c>
      <c r="B1256" s="32" t="s">
        <v>1424</v>
      </c>
    </row>
    <row r="1257" customFormat="false" ht="14.25" hidden="false" customHeight="false" outlineLevel="0" collapsed="false">
      <c r="A1257" s="24" t="n">
        <v>218850</v>
      </c>
      <c r="B1257" s="32" t="s">
        <v>1425</v>
      </c>
    </row>
    <row r="1258" customFormat="false" ht="14.25" hidden="false" customHeight="false" outlineLevel="0" collapsed="false">
      <c r="A1258" s="24" t="n">
        <v>218860</v>
      </c>
      <c r="B1258" s="32" t="s">
        <v>1426</v>
      </c>
    </row>
    <row r="1259" customFormat="false" ht="14.25" hidden="false" customHeight="false" outlineLevel="0" collapsed="false">
      <c r="A1259" s="24" t="n">
        <v>218870</v>
      </c>
      <c r="B1259" s="32" t="s">
        <v>1427</v>
      </c>
    </row>
    <row r="1260" customFormat="false" ht="14.25" hidden="false" customHeight="false" outlineLevel="0" collapsed="false">
      <c r="A1260" s="24" t="n">
        <v>218880</v>
      </c>
      <c r="B1260" s="32" t="s">
        <v>1428</v>
      </c>
    </row>
    <row r="1261" customFormat="false" ht="14.25" hidden="false" customHeight="false" outlineLevel="0" collapsed="false">
      <c r="A1261" s="24" t="n">
        <v>218890</v>
      </c>
      <c r="B1261" s="32" t="s">
        <v>1429</v>
      </c>
    </row>
    <row r="1262" customFormat="false" ht="14.25" hidden="false" customHeight="false" outlineLevel="0" collapsed="false">
      <c r="A1262" s="24" t="n">
        <v>218900</v>
      </c>
      <c r="B1262" s="32" t="s">
        <v>1430</v>
      </c>
    </row>
    <row r="1263" customFormat="false" ht="14.25" hidden="false" customHeight="false" outlineLevel="0" collapsed="false">
      <c r="A1263" s="24" t="n">
        <v>218910</v>
      </c>
      <c r="B1263" s="32" t="s">
        <v>1431</v>
      </c>
    </row>
    <row r="1264" customFormat="false" ht="14.25" hidden="false" customHeight="false" outlineLevel="0" collapsed="false">
      <c r="A1264" s="24" t="n">
        <v>218920</v>
      </c>
      <c r="B1264" s="32" t="s">
        <v>1432</v>
      </c>
    </row>
    <row r="1265" customFormat="false" ht="14.25" hidden="false" customHeight="false" outlineLevel="0" collapsed="false">
      <c r="A1265" s="24" t="n">
        <v>218930</v>
      </c>
      <c r="B1265" s="32" t="s">
        <v>1433</v>
      </c>
    </row>
    <row r="1266" customFormat="false" ht="16.4" hidden="false" customHeight="false" outlineLevel="0" collapsed="false">
      <c r="A1266" s="24" t="n">
        <v>219000</v>
      </c>
      <c r="B1266" s="33" t="s">
        <v>1434</v>
      </c>
    </row>
    <row r="1267" customFormat="false" ht="14.25" hidden="false" customHeight="false" outlineLevel="0" collapsed="false">
      <c r="A1267" s="24" t="n">
        <v>219010</v>
      </c>
      <c r="B1267" s="32" t="s">
        <v>1435</v>
      </c>
    </row>
    <row r="1268" customFormat="false" ht="14.25" hidden="false" customHeight="false" outlineLevel="0" collapsed="false">
      <c r="A1268" s="24" t="n">
        <v>219011</v>
      </c>
      <c r="B1268" s="32" t="s">
        <v>1436</v>
      </c>
    </row>
    <row r="1269" customFormat="false" ht="14.25" hidden="false" customHeight="false" outlineLevel="0" collapsed="false">
      <c r="A1269" s="24" t="n">
        <v>219020</v>
      </c>
      <c r="B1269" s="32" t="s">
        <v>1437</v>
      </c>
    </row>
    <row r="1270" customFormat="false" ht="14.25" hidden="false" customHeight="false" outlineLevel="0" collapsed="false">
      <c r="A1270" s="24" t="n">
        <v>219030</v>
      </c>
      <c r="B1270" s="32" t="s">
        <v>1438</v>
      </c>
    </row>
    <row r="1271" customFormat="false" ht="14.25" hidden="false" customHeight="false" outlineLevel="0" collapsed="false">
      <c r="A1271" s="24" t="n">
        <v>219040</v>
      </c>
      <c r="B1271" s="32" t="s">
        <v>1439</v>
      </c>
    </row>
    <row r="1272" customFormat="false" ht="14.25" hidden="false" customHeight="false" outlineLevel="0" collapsed="false">
      <c r="A1272" s="24" t="n">
        <v>219050</v>
      </c>
      <c r="B1272" s="32" t="s">
        <v>1440</v>
      </c>
    </row>
    <row r="1273" customFormat="false" ht="14.25" hidden="false" customHeight="false" outlineLevel="0" collapsed="false">
      <c r="A1273" s="24" t="n">
        <v>219060</v>
      </c>
      <c r="B1273" s="32" t="s">
        <v>1441</v>
      </c>
    </row>
    <row r="1274" customFormat="false" ht="14.25" hidden="false" customHeight="false" outlineLevel="0" collapsed="false">
      <c r="A1274" s="24" t="n">
        <v>219070</v>
      </c>
      <c r="B1274" s="32" t="s">
        <v>1442</v>
      </c>
    </row>
    <row r="1275" customFormat="false" ht="14.25" hidden="false" customHeight="false" outlineLevel="0" collapsed="false">
      <c r="A1275" s="24" t="n">
        <v>219080</v>
      </c>
      <c r="B1275" s="32" t="s">
        <v>1443</v>
      </c>
    </row>
    <row r="1276" customFormat="false" ht="14.25" hidden="false" customHeight="false" outlineLevel="0" collapsed="false">
      <c r="A1276" s="24" t="n">
        <v>219081</v>
      </c>
      <c r="B1276" s="32" t="s">
        <v>1444</v>
      </c>
    </row>
    <row r="1277" customFormat="false" ht="14.25" hidden="false" customHeight="false" outlineLevel="0" collapsed="false">
      <c r="A1277" s="24" t="n">
        <v>219082</v>
      </c>
      <c r="B1277" s="32" t="s">
        <v>1445</v>
      </c>
    </row>
    <row r="1278" customFormat="false" ht="14.25" hidden="false" customHeight="false" outlineLevel="0" collapsed="false">
      <c r="A1278" s="24" t="n">
        <v>219090</v>
      </c>
      <c r="B1278" s="32" t="s">
        <v>1446</v>
      </c>
    </row>
    <row r="1279" customFormat="false" ht="14.25" hidden="false" customHeight="false" outlineLevel="0" collapsed="false">
      <c r="A1279" s="24" t="n">
        <v>219100</v>
      </c>
      <c r="B1279" s="32" t="s">
        <v>1447</v>
      </c>
    </row>
    <row r="1280" customFormat="false" ht="14.25" hidden="false" customHeight="false" outlineLevel="0" collapsed="false">
      <c r="A1280" s="24" t="n">
        <v>219110</v>
      </c>
      <c r="B1280" s="32" t="s">
        <v>1448</v>
      </c>
    </row>
    <row r="1281" customFormat="false" ht="14.25" hidden="false" customHeight="false" outlineLevel="0" collapsed="false">
      <c r="A1281" s="24" t="n">
        <v>219111</v>
      </c>
      <c r="B1281" s="32" t="s">
        <v>1449</v>
      </c>
    </row>
    <row r="1282" customFormat="false" ht="14.25" hidden="false" customHeight="false" outlineLevel="0" collapsed="false">
      <c r="A1282" s="24" t="n">
        <v>219120</v>
      </c>
      <c r="B1282" s="32" t="s">
        <v>1450</v>
      </c>
    </row>
    <row r="1283" customFormat="false" ht="14.25" hidden="false" customHeight="false" outlineLevel="0" collapsed="false">
      <c r="A1283" s="24" t="n">
        <v>219130</v>
      </c>
      <c r="B1283" s="32" t="s">
        <v>1451</v>
      </c>
    </row>
    <row r="1284" customFormat="false" ht="14.25" hidden="false" customHeight="false" outlineLevel="0" collapsed="false">
      <c r="A1284" s="24" t="n">
        <v>219131</v>
      </c>
      <c r="B1284" s="32" t="s">
        <v>1452</v>
      </c>
    </row>
    <row r="1285" customFormat="false" ht="14.25" hidden="false" customHeight="false" outlineLevel="0" collapsed="false">
      <c r="A1285" s="24" t="n">
        <v>219132</v>
      </c>
      <c r="B1285" s="32" t="s">
        <v>1453</v>
      </c>
    </row>
    <row r="1286" customFormat="false" ht="14.25" hidden="false" customHeight="false" outlineLevel="0" collapsed="false">
      <c r="A1286" s="24" t="n">
        <v>219140</v>
      </c>
      <c r="B1286" s="32" t="s">
        <v>1454</v>
      </c>
    </row>
    <row r="1287" customFormat="false" ht="14.25" hidden="false" customHeight="false" outlineLevel="0" collapsed="false">
      <c r="A1287" s="24" t="n">
        <v>219150</v>
      </c>
      <c r="B1287" s="32" t="s">
        <v>1455</v>
      </c>
    </row>
    <row r="1288" customFormat="false" ht="14.25" hidden="false" customHeight="false" outlineLevel="0" collapsed="false">
      <c r="A1288" s="24" t="n">
        <v>219151</v>
      </c>
      <c r="B1288" s="32" t="s">
        <v>1456</v>
      </c>
    </row>
    <row r="1289" customFormat="false" ht="14.25" hidden="false" customHeight="false" outlineLevel="0" collapsed="false">
      <c r="A1289" s="24" t="n">
        <v>219160</v>
      </c>
      <c r="B1289" s="32" t="s">
        <v>1457</v>
      </c>
    </row>
    <row r="1290" customFormat="false" ht="14.25" hidden="false" customHeight="false" outlineLevel="0" collapsed="false">
      <c r="A1290" s="24" t="n">
        <v>219161</v>
      </c>
      <c r="B1290" s="32" t="s">
        <v>1458</v>
      </c>
    </row>
    <row r="1291" customFormat="false" ht="14.25" hidden="false" customHeight="false" outlineLevel="0" collapsed="false">
      <c r="A1291" s="24" t="n">
        <v>219170</v>
      </c>
      <c r="B1291" s="32" t="s">
        <v>1459</v>
      </c>
    </row>
    <row r="1292" customFormat="false" ht="14.25" hidden="false" customHeight="false" outlineLevel="0" collapsed="false">
      <c r="A1292" s="24" t="n">
        <v>219180</v>
      </c>
      <c r="B1292" s="32" t="s">
        <v>1460</v>
      </c>
    </row>
    <row r="1293" customFormat="false" ht="14.25" hidden="false" customHeight="false" outlineLevel="0" collapsed="false">
      <c r="A1293" s="24" t="n">
        <v>219200</v>
      </c>
      <c r="B1293" s="32" t="s">
        <v>1461</v>
      </c>
    </row>
    <row r="1294" customFormat="false" ht="14.25" hidden="false" customHeight="false" outlineLevel="0" collapsed="false">
      <c r="A1294" s="24" t="n">
        <v>219201</v>
      </c>
      <c r="B1294" s="32" t="s">
        <v>1462</v>
      </c>
    </row>
    <row r="1295" customFormat="false" ht="14.25" hidden="false" customHeight="false" outlineLevel="0" collapsed="false">
      <c r="A1295" s="24" t="n">
        <v>219202</v>
      </c>
      <c r="B1295" s="32" t="s">
        <v>1463</v>
      </c>
    </row>
    <row r="1296" customFormat="false" ht="14.25" hidden="false" customHeight="false" outlineLevel="0" collapsed="false">
      <c r="A1296" s="24" t="n">
        <v>219210</v>
      </c>
      <c r="B1296" s="32" t="s">
        <v>1464</v>
      </c>
    </row>
    <row r="1297" customFormat="false" ht="14.25" hidden="false" customHeight="false" outlineLevel="0" collapsed="false">
      <c r="A1297" s="24" t="n">
        <v>219300</v>
      </c>
      <c r="B1297" s="32" t="s">
        <v>1465</v>
      </c>
    </row>
    <row r="1298" customFormat="false" ht="14.25" hidden="false" customHeight="false" outlineLevel="0" collapsed="false">
      <c r="A1298" s="24" t="n">
        <v>219400</v>
      </c>
      <c r="B1298" s="32" t="s">
        <v>1466</v>
      </c>
    </row>
    <row r="1299" customFormat="false" ht="14.25" hidden="false" customHeight="false" outlineLevel="0" collapsed="false">
      <c r="A1299" s="24" t="n">
        <v>219410</v>
      </c>
      <c r="B1299" s="32" t="s">
        <v>1467</v>
      </c>
    </row>
    <row r="1300" customFormat="false" ht="14.25" hidden="false" customHeight="false" outlineLevel="0" collapsed="false">
      <c r="A1300" s="24" t="n">
        <v>219420</v>
      </c>
      <c r="B1300" s="32" t="s">
        <v>1468</v>
      </c>
    </row>
    <row r="1301" customFormat="false" ht="14.25" hidden="false" customHeight="false" outlineLevel="0" collapsed="false">
      <c r="A1301" s="24" t="n">
        <v>219421</v>
      </c>
      <c r="B1301" s="32" t="s">
        <v>1469</v>
      </c>
    </row>
    <row r="1302" customFormat="false" ht="14.25" hidden="false" customHeight="false" outlineLevel="0" collapsed="false">
      <c r="A1302" s="24" t="n">
        <v>219422</v>
      </c>
      <c r="B1302" s="32" t="s">
        <v>1470</v>
      </c>
    </row>
    <row r="1303" customFormat="false" ht="14.25" hidden="false" customHeight="false" outlineLevel="0" collapsed="false">
      <c r="A1303" s="24" t="n">
        <v>219423</v>
      </c>
      <c r="B1303" s="32" t="s">
        <v>1471</v>
      </c>
    </row>
    <row r="1304" customFormat="false" ht="14.25" hidden="false" customHeight="false" outlineLevel="0" collapsed="false">
      <c r="A1304" s="24" t="n">
        <v>219424</v>
      </c>
      <c r="B1304" s="32" t="s">
        <v>1472</v>
      </c>
    </row>
    <row r="1305" customFormat="false" ht="14.25" hidden="false" customHeight="false" outlineLevel="0" collapsed="false">
      <c r="A1305" s="24" t="n">
        <v>219425</v>
      </c>
      <c r="B1305" s="32" t="s">
        <v>1473</v>
      </c>
    </row>
    <row r="1306" customFormat="false" ht="14.25" hidden="false" customHeight="false" outlineLevel="0" collapsed="false">
      <c r="A1306" s="24" t="n">
        <v>219426</v>
      </c>
      <c r="B1306" s="32" t="s">
        <v>1474</v>
      </c>
    </row>
    <row r="1307" customFormat="false" ht="14.25" hidden="false" customHeight="false" outlineLevel="0" collapsed="false">
      <c r="A1307" s="24" t="n">
        <v>219427</v>
      </c>
      <c r="B1307" s="32" t="s">
        <v>1475</v>
      </c>
    </row>
    <row r="1308" customFormat="false" ht="14.25" hidden="false" customHeight="false" outlineLevel="0" collapsed="false">
      <c r="A1308" s="24" t="n">
        <v>219428</v>
      </c>
      <c r="B1308" s="32" t="s">
        <v>1476</v>
      </c>
    </row>
    <row r="1309" customFormat="false" ht="14.25" hidden="false" customHeight="false" outlineLevel="0" collapsed="false">
      <c r="A1309" s="24" t="n">
        <v>219429</v>
      </c>
      <c r="B1309" s="32" t="s">
        <v>1477</v>
      </c>
    </row>
    <row r="1310" customFormat="false" ht="14.25" hidden="false" customHeight="false" outlineLevel="0" collapsed="false">
      <c r="A1310" s="24" t="n">
        <v>219430</v>
      </c>
      <c r="B1310" s="32" t="s">
        <v>1478</v>
      </c>
    </row>
    <row r="1311" customFormat="false" ht="14.25" hidden="false" customHeight="false" outlineLevel="0" collapsed="false">
      <c r="A1311" s="24" t="n">
        <v>219431</v>
      </c>
      <c r="B1311" s="32" t="s">
        <v>1479</v>
      </c>
    </row>
    <row r="1312" customFormat="false" ht="14.25" hidden="false" customHeight="false" outlineLevel="0" collapsed="false">
      <c r="A1312" s="24" t="n">
        <v>219432</v>
      </c>
      <c r="B1312" s="32" t="s">
        <v>1480</v>
      </c>
    </row>
    <row r="1313" customFormat="false" ht="14.25" hidden="false" customHeight="false" outlineLevel="0" collapsed="false">
      <c r="A1313" s="24" t="n">
        <v>219433</v>
      </c>
      <c r="B1313" s="32" t="s">
        <v>1481</v>
      </c>
    </row>
    <row r="1314" customFormat="false" ht="14.25" hidden="false" customHeight="false" outlineLevel="0" collapsed="false">
      <c r="A1314" s="24" t="n">
        <v>219434</v>
      </c>
      <c r="B1314" s="32" t="s">
        <v>1482</v>
      </c>
    </row>
    <row r="1315" customFormat="false" ht="14.25" hidden="false" customHeight="false" outlineLevel="0" collapsed="false">
      <c r="A1315" s="24" t="n">
        <v>219435</v>
      </c>
      <c r="B1315" s="32" t="s">
        <v>1483</v>
      </c>
    </row>
    <row r="1316" customFormat="false" ht="14.25" hidden="false" customHeight="false" outlineLevel="0" collapsed="false">
      <c r="A1316" s="24" t="n">
        <v>219436</v>
      </c>
      <c r="B1316" s="32" t="s">
        <v>1484</v>
      </c>
    </row>
    <row r="1317" customFormat="false" ht="14.25" hidden="false" customHeight="false" outlineLevel="0" collapsed="false">
      <c r="A1317" s="24" t="n">
        <v>219437</v>
      </c>
      <c r="B1317" s="32" t="s">
        <v>1485</v>
      </c>
    </row>
    <row r="1318" customFormat="false" ht="14.25" hidden="false" customHeight="false" outlineLevel="0" collapsed="false">
      <c r="A1318" s="24" t="n">
        <v>219438</v>
      </c>
      <c r="B1318" s="32" t="s">
        <v>1486</v>
      </c>
    </row>
    <row r="1319" customFormat="false" ht="14.25" hidden="false" customHeight="false" outlineLevel="0" collapsed="false">
      <c r="A1319" s="24" t="n">
        <v>219439</v>
      </c>
      <c r="B1319" s="32" t="s">
        <v>1487</v>
      </c>
    </row>
    <row r="1320" customFormat="false" ht="14.25" hidden="false" customHeight="false" outlineLevel="0" collapsed="false">
      <c r="A1320" s="24" t="n">
        <v>219440</v>
      </c>
      <c r="B1320" s="32" t="s">
        <v>1488</v>
      </c>
    </row>
    <row r="1321" customFormat="false" ht="14.25" hidden="false" customHeight="false" outlineLevel="0" collapsed="false">
      <c r="A1321" s="24" t="n">
        <v>219441</v>
      </c>
      <c r="B1321" s="32" t="s">
        <v>1489</v>
      </c>
    </row>
    <row r="1322" customFormat="false" ht="14.25" hidden="false" customHeight="false" outlineLevel="0" collapsed="false">
      <c r="A1322" s="24" t="n">
        <v>219442</v>
      </c>
      <c r="B1322" s="32" t="s">
        <v>1490</v>
      </c>
    </row>
    <row r="1323" customFormat="false" ht="14.25" hidden="false" customHeight="false" outlineLevel="0" collapsed="false">
      <c r="A1323" s="24" t="n">
        <v>219450</v>
      </c>
      <c r="B1323" s="32" t="s">
        <v>1491</v>
      </c>
    </row>
    <row r="1324" customFormat="false" ht="14.25" hidden="false" customHeight="false" outlineLevel="0" collapsed="false">
      <c r="A1324" s="24" t="n">
        <v>219460</v>
      </c>
      <c r="B1324" s="32" t="s">
        <v>1492</v>
      </c>
    </row>
    <row r="1325" customFormat="false" ht="14.25" hidden="false" customHeight="false" outlineLevel="0" collapsed="false">
      <c r="A1325" s="24" t="n">
        <v>219470</v>
      </c>
      <c r="B1325" s="32" t="s">
        <v>1493</v>
      </c>
    </row>
    <row r="1326" customFormat="false" ht="14.25" hidden="false" customHeight="false" outlineLevel="0" collapsed="false">
      <c r="A1326" s="24" t="n">
        <v>219471</v>
      </c>
      <c r="B1326" s="32" t="s">
        <v>1494</v>
      </c>
    </row>
    <row r="1327" customFormat="false" ht="14.25" hidden="false" customHeight="false" outlineLevel="0" collapsed="false">
      <c r="A1327" s="24" t="n">
        <v>219472</v>
      </c>
      <c r="B1327" s="32" t="s">
        <v>1495</v>
      </c>
    </row>
    <row r="1328" customFormat="false" ht="14.25" hidden="false" customHeight="false" outlineLevel="0" collapsed="false">
      <c r="A1328" s="24" t="n">
        <v>219480</v>
      </c>
      <c r="B1328" s="32" t="s">
        <v>1496</v>
      </c>
    </row>
    <row r="1329" customFormat="false" ht="14.25" hidden="false" customHeight="false" outlineLevel="0" collapsed="false">
      <c r="A1329" s="24" t="n">
        <v>219490</v>
      </c>
      <c r="B1329" s="32" t="s">
        <v>1497</v>
      </c>
    </row>
    <row r="1330" customFormat="false" ht="14.25" hidden="false" customHeight="false" outlineLevel="0" collapsed="false">
      <c r="A1330" s="24" t="n">
        <v>219500</v>
      </c>
      <c r="B1330" s="32" t="s">
        <v>1498</v>
      </c>
    </row>
    <row r="1331" customFormat="false" ht="14.25" hidden="false" customHeight="false" outlineLevel="0" collapsed="false">
      <c r="A1331" s="24" t="n">
        <v>219501</v>
      </c>
      <c r="B1331" s="32" t="s">
        <v>1499</v>
      </c>
    </row>
    <row r="1332" customFormat="false" ht="14.25" hidden="false" customHeight="false" outlineLevel="0" collapsed="false">
      <c r="A1332" s="24" t="n">
        <v>219510</v>
      </c>
      <c r="B1332" s="32" t="s">
        <v>1500</v>
      </c>
    </row>
    <row r="1333" customFormat="false" ht="14.25" hidden="false" customHeight="false" outlineLevel="0" collapsed="false">
      <c r="A1333" s="24" t="n">
        <v>219520</v>
      </c>
      <c r="B1333" s="32" t="s">
        <v>1501</v>
      </c>
    </row>
    <row r="1334" customFormat="false" ht="14.25" hidden="false" customHeight="false" outlineLevel="0" collapsed="false">
      <c r="A1334" s="24" t="n">
        <v>219530</v>
      </c>
      <c r="B1334" s="32" t="s">
        <v>1502</v>
      </c>
    </row>
    <row r="1335" customFormat="false" ht="14.25" hidden="false" customHeight="false" outlineLevel="0" collapsed="false">
      <c r="A1335" s="24" t="n">
        <v>219540</v>
      </c>
      <c r="B1335" s="32" t="s">
        <v>1503</v>
      </c>
    </row>
    <row r="1336" customFormat="false" ht="14.25" hidden="false" customHeight="false" outlineLevel="0" collapsed="false">
      <c r="A1336" s="24" t="n">
        <v>219590</v>
      </c>
      <c r="B1336" s="32" t="s">
        <v>1504</v>
      </c>
    </row>
    <row r="1337" customFormat="false" ht="14.25" hidden="false" customHeight="false" outlineLevel="0" collapsed="false">
      <c r="A1337" s="24" t="n">
        <v>219600</v>
      </c>
      <c r="B1337" s="32" t="s">
        <v>1505</v>
      </c>
    </row>
    <row r="1338" customFormat="false" ht="14.25" hidden="false" customHeight="false" outlineLevel="0" collapsed="false">
      <c r="A1338" s="24" t="n">
        <v>219610</v>
      </c>
      <c r="B1338" s="32" t="s">
        <v>1506</v>
      </c>
    </row>
    <row r="1339" customFormat="false" ht="14.25" hidden="false" customHeight="false" outlineLevel="0" collapsed="false">
      <c r="A1339" s="24" t="n">
        <v>219620</v>
      </c>
      <c r="B1339" s="32" t="s">
        <v>1507</v>
      </c>
    </row>
    <row r="1340" customFormat="false" ht="14.25" hidden="false" customHeight="false" outlineLevel="0" collapsed="false">
      <c r="A1340" s="24" t="n">
        <v>219630</v>
      </c>
      <c r="B1340" s="32" t="s">
        <v>1508</v>
      </c>
    </row>
    <row r="1341" customFormat="false" ht="14.25" hidden="false" customHeight="false" outlineLevel="0" collapsed="false">
      <c r="A1341" s="24" t="n">
        <v>219640</v>
      </c>
      <c r="B1341" s="32" t="s">
        <v>1509</v>
      </c>
    </row>
    <row r="1342" customFormat="false" ht="14.25" hidden="false" customHeight="false" outlineLevel="0" collapsed="false">
      <c r="A1342" s="24" t="n">
        <v>219650</v>
      </c>
      <c r="B1342" s="32" t="s">
        <v>1510</v>
      </c>
    </row>
    <row r="1343" customFormat="false" ht="14.25" hidden="false" customHeight="false" outlineLevel="0" collapsed="false">
      <c r="A1343" s="24" t="n">
        <v>219660</v>
      </c>
      <c r="B1343" s="32" t="s">
        <v>1511</v>
      </c>
    </row>
    <row r="1344" customFormat="false" ht="14.25" hidden="false" customHeight="false" outlineLevel="0" collapsed="false">
      <c r="A1344" s="24" t="n">
        <v>219661</v>
      </c>
      <c r="B1344" s="32" t="s">
        <v>1512</v>
      </c>
    </row>
    <row r="1345" customFormat="false" ht="14.25" hidden="false" customHeight="false" outlineLevel="0" collapsed="false">
      <c r="A1345" s="24" t="n">
        <v>219670</v>
      </c>
      <c r="B1345" s="32" t="s">
        <v>1513</v>
      </c>
    </row>
    <row r="1346" customFormat="false" ht="14.25" hidden="false" customHeight="false" outlineLevel="0" collapsed="false">
      <c r="A1346" s="24" t="n">
        <v>219680</v>
      </c>
      <c r="B1346" s="32" t="s">
        <v>1514</v>
      </c>
    </row>
    <row r="1347" customFormat="false" ht="14.25" hidden="false" customHeight="false" outlineLevel="0" collapsed="false">
      <c r="A1347" s="24" t="n">
        <v>219681</v>
      </c>
      <c r="B1347" s="32" t="s">
        <v>1515</v>
      </c>
    </row>
    <row r="1348" customFormat="false" ht="14.25" hidden="false" customHeight="false" outlineLevel="0" collapsed="false">
      <c r="A1348" s="24" t="n">
        <v>219682</v>
      </c>
      <c r="B1348" s="32" t="s">
        <v>1516</v>
      </c>
    </row>
    <row r="1349" customFormat="false" ht="14.25" hidden="false" customHeight="false" outlineLevel="0" collapsed="false">
      <c r="A1349" s="24" t="n">
        <v>219690</v>
      </c>
      <c r="B1349" s="32" t="s">
        <v>1517</v>
      </c>
    </row>
    <row r="1350" customFormat="false" ht="16.4" hidden="false" customHeight="false" outlineLevel="0" collapsed="false">
      <c r="A1350" s="24" t="n">
        <v>219700</v>
      </c>
      <c r="B1350" s="32" t="s">
        <v>1518</v>
      </c>
    </row>
    <row r="1351" customFormat="false" ht="14.25" hidden="false" customHeight="false" outlineLevel="0" collapsed="false">
      <c r="A1351" s="24" t="n">
        <v>219710</v>
      </c>
      <c r="B1351" s="32" t="s">
        <v>1519</v>
      </c>
    </row>
    <row r="1352" customFormat="false" ht="14.25" hidden="false" customHeight="false" outlineLevel="0" collapsed="false">
      <c r="A1352" s="24" t="n">
        <v>219800</v>
      </c>
      <c r="B1352" s="32" t="s">
        <v>1520</v>
      </c>
    </row>
    <row r="1353" customFormat="false" ht="14.25" hidden="false" customHeight="false" outlineLevel="0" collapsed="false">
      <c r="A1353" s="24" t="n">
        <v>219900</v>
      </c>
      <c r="B1353" s="32" t="s">
        <v>1521</v>
      </c>
    </row>
    <row r="1354" customFormat="false" ht="14.25" hidden="false" customHeight="false" outlineLevel="0" collapsed="false">
      <c r="A1354" s="24" t="n">
        <v>220000</v>
      </c>
      <c r="B1354" s="32" t="s">
        <v>1522</v>
      </c>
    </row>
    <row r="1355" customFormat="false" ht="14.25" hidden="false" customHeight="false" outlineLevel="0" collapsed="false">
      <c r="A1355" s="24" t="n">
        <v>221000</v>
      </c>
      <c r="B1355" s="32" t="s">
        <v>1523</v>
      </c>
    </row>
    <row r="1356" customFormat="false" ht="14.25" hidden="false" customHeight="false" outlineLevel="0" collapsed="false">
      <c r="A1356" s="24" t="n">
        <v>222000</v>
      </c>
      <c r="B1356" s="32" t="s">
        <v>1524</v>
      </c>
    </row>
    <row r="1357" customFormat="false" ht="14.25" hidden="false" customHeight="false" outlineLevel="0" collapsed="false">
      <c r="A1357" s="24" t="n">
        <v>223000</v>
      </c>
      <c r="B1357" s="32" t="s">
        <v>1525</v>
      </c>
    </row>
    <row r="1358" customFormat="false" ht="14.25" hidden="false" customHeight="false" outlineLevel="0" collapsed="false">
      <c r="A1358" s="24" t="n">
        <v>224000</v>
      </c>
      <c r="B1358" s="32" t="s">
        <v>1526</v>
      </c>
    </row>
    <row r="1359" customFormat="false" ht="14.25" hidden="false" customHeight="false" outlineLevel="0" collapsed="false">
      <c r="A1359" s="24" t="n">
        <v>230000</v>
      </c>
      <c r="B1359" s="32" t="s">
        <v>1527</v>
      </c>
    </row>
    <row r="1360" customFormat="false" ht="14.25" hidden="false" customHeight="false" outlineLevel="0" collapsed="false">
      <c r="A1360" s="24" t="n">
        <v>300000</v>
      </c>
      <c r="B1360" s="32" t="s">
        <v>1528</v>
      </c>
    </row>
    <row r="1361" customFormat="false" ht="14.25" hidden="false" customHeight="false" outlineLevel="0" collapsed="false">
      <c r="A1361" s="24" t="n">
        <v>300100</v>
      </c>
      <c r="B1361" s="32" t="s">
        <v>1529</v>
      </c>
    </row>
    <row r="1362" customFormat="false" ht="14.25" hidden="false" customHeight="false" outlineLevel="0" collapsed="false">
      <c r="A1362" s="24" t="n">
        <v>300200</v>
      </c>
      <c r="B1362" s="32" t="s">
        <v>1530</v>
      </c>
    </row>
    <row r="1363" customFormat="false" ht="14.25" hidden="false" customHeight="false" outlineLevel="0" collapsed="false">
      <c r="A1363" s="24" t="n">
        <v>300210</v>
      </c>
      <c r="B1363" s="32" t="s">
        <v>1531</v>
      </c>
    </row>
    <row r="1364" customFormat="false" ht="14.25" hidden="false" customHeight="false" outlineLevel="0" collapsed="false">
      <c r="A1364" s="24" t="n">
        <v>300300</v>
      </c>
      <c r="B1364" s="32" t="s">
        <v>1532</v>
      </c>
    </row>
    <row r="1365" customFormat="false" ht="14.25" hidden="false" customHeight="false" outlineLevel="0" collapsed="false">
      <c r="A1365" s="24" t="n">
        <v>300310</v>
      </c>
      <c r="B1365" s="32" t="s">
        <v>1533</v>
      </c>
    </row>
    <row r="1366" customFormat="false" ht="14.25" hidden="false" customHeight="false" outlineLevel="0" collapsed="false">
      <c r="A1366" s="24" t="n">
        <v>300400</v>
      </c>
      <c r="B1366" s="32" t="s">
        <v>1534</v>
      </c>
    </row>
    <row r="1367" customFormat="false" ht="14.25" hidden="false" customHeight="false" outlineLevel="0" collapsed="false">
      <c r="A1367" s="24" t="n">
        <v>300500</v>
      </c>
      <c r="B1367" s="32" t="s">
        <v>1535</v>
      </c>
    </row>
    <row r="1368" customFormat="false" ht="14.25" hidden="false" customHeight="false" outlineLevel="0" collapsed="false">
      <c r="A1368" s="24" t="n">
        <v>310100</v>
      </c>
      <c r="B1368" s="32" t="s">
        <v>1536</v>
      </c>
    </row>
    <row r="1369" customFormat="false" ht="14.25" hidden="false" customHeight="false" outlineLevel="0" collapsed="false">
      <c r="A1369" s="24" t="n">
        <v>310101</v>
      </c>
      <c r="B1369" s="32" t="s">
        <v>1537</v>
      </c>
    </row>
    <row r="1370" customFormat="false" ht="14.25" hidden="false" customHeight="false" outlineLevel="0" collapsed="false">
      <c r="A1370" s="24" t="n">
        <v>310102</v>
      </c>
      <c r="B1370" s="32" t="s">
        <v>1538</v>
      </c>
    </row>
    <row r="1371" customFormat="false" ht="14.25" hidden="false" customHeight="false" outlineLevel="0" collapsed="false">
      <c r="A1371" s="24" t="n">
        <v>310103</v>
      </c>
      <c r="B1371" s="32" t="s">
        <v>1539</v>
      </c>
    </row>
    <row r="1372" customFormat="false" ht="14.25" hidden="false" customHeight="false" outlineLevel="0" collapsed="false">
      <c r="A1372" s="24" t="n">
        <v>310104</v>
      </c>
      <c r="B1372" s="32" t="s">
        <v>1540</v>
      </c>
    </row>
    <row r="1373" customFormat="false" ht="14.25" hidden="false" customHeight="false" outlineLevel="0" collapsed="false">
      <c r="A1373" s="24" t="n">
        <v>310105</v>
      </c>
      <c r="B1373" s="32" t="s">
        <v>1541</v>
      </c>
    </row>
    <row r="1374" customFormat="false" ht="14.25" hidden="false" customHeight="false" outlineLevel="0" collapsed="false">
      <c r="A1374" s="24" t="n">
        <v>310106</v>
      </c>
      <c r="B1374" s="32" t="s">
        <v>1542</v>
      </c>
    </row>
    <row r="1375" customFormat="false" ht="14.25" hidden="false" customHeight="false" outlineLevel="0" collapsed="false">
      <c r="A1375" s="24" t="n">
        <v>310107</v>
      </c>
      <c r="B1375" s="32" t="s">
        <v>1543</v>
      </c>
    </row>
    <row r="1376" customFormat="false" ht="14.25" hidden="false" customHeight="false" outlineLevel="0" collapsed="false">
      <c r="A1376" s="24" t="n">
        <v>310108</v>
      </c>
      <c r="B1376" s="32" t="s">
        <v>1544</v>
      </c>
    </row>
    <row r="1377" customFormat="false" ht="14.25" hidden="false" customHeight="false" outlineLevel="0" collapsed="false">
      <c r="A1377" s="24" t="n">
        <v>310110</v>
      </c>
      <c r="B1377" s="32" t="s">
        <v>1545</v>
      </c>
    </row>
    <row r="1378" customFormat="false" ht="14.25" hidden="false" customHeight="false" outlineLevel="0" collapsed="false">
      <c r="A1378" s="24" t="n">
        <v>310120</v>
      </c>
      <c r="B1378" s="32" t="s">
        <v>1546</v>
      </c>
    </row>
    <row r="1379" customFormat="false" ht="14.25" hidden="false" customHeight="false" outlineLevel="0" collapsed="false">
      <c r="A1379" s="24" t="n">
        <v>310130</v>
      </c>
      <c r="B1379" s="32" t="s">
        <v>1547</v>
      </c>
    </row>
    <row r="1380" customFormat="false" ht="14.25" hidden="false" customHeight="false" outlineLevel="0" collapsed="false">
      <c r="A1380" s="24" t="n">
        <v>310140</v>
      </c>
      <c r="B1380" s="32" t="s">
        <v>1548</v>
      </c>
    </row>
    <row r="1381" customFormat="false" ht="14.25" hidden="false" customHeight="false" outlineLevel="0" collapsed="false">
      <c r="A1381" s="24" t="n">
        <v>310141</v>
      </c>
      <c r="B1381" s="32" t="s">
        <v>1549</v>
      </c>
    </row>
    <row r="1382" customFormat="false" ht="14.25" hidden="false" customHeight="false" outlineLevel="0" collapsed="false">
      <c r="A1382" s="24" t="n">
        <v>310142</v>
      </c>
      <c r="B1382" s="32" t="s">
        <v>1550</v>
      </c>
    </row>
    <row r="1383" customFormat="false" ht="14.25" hidden="false" customHeight="false" outlineLevel="0" collapsed="false">
      <c r="A1383" s="24" t="n">
        <v>310150</v>
      </c>
      <c r="B1383" s="32" t="s">
        <v>1551</v>
      </c>
    </row>
    <row r="1384" customFormat="false" ht="14.25" hidden="false" customHeight="false" outlineLevel="0" collapsed="false">
      <c r="A1384" s="24" t="n">
        <v>310151</v>
      </c>
      <c r="B1384" s="32" t="s">
        <v>1552</v>
      </c>
    </row>
    <row r="1385" customFormat="false" ht="14.25" hidden="false" customHeight="false" outlineLevel="0" collapsed="false">
      <c r="A1385" s="24" t="n">
        <v>310152</v>
      </c>
      <c r="B1385" s="32" t="s">
        <v>1553</v>
      </c>
    </row>
    <row r="1386" customFormat="false" ht="14.25" hidden="false" customHeight="false" outlineLevel="0" collapsed="false">
      <c r="A1386" s="24" t="n">
        <v>310160</v>
      </c>
      <c r="B1386" s="32" t="s">
        <v>1554</v>
      </c>
    </row>
    <row r="1387" customFormat="false" ht="14.25" hidden="false" customHeight="false" outlineLevel="0" collapsed="false">
      <c r="A1387" s="24" t="n">
        <v>310170</v>
      </c>
      <c r="B1387" s="32" t="s">
        <v>1555</v>
      </c>
    </row>
    <row r="1388" customFormat="false" ht="14.25" hidden="false" customHeight="false" outlineLevel="0" collapsed="false">
      <c r="A1388" s="24" t="n">
        <v>310180</v>
      </c>
      <c r="B1388" s="32" t="s">
        <v>1556</v>
      </c>
    </row>
    <row r="1389" customFormat="false" ht="14.25" hidden="false" customHeight="false" outlineLevel="0" collapsed="false">
      <c r="A1389" s="24" t="n">
        <v>310190</v>
      </c>
      <c r="B1389" s="32" t="s">
        <v>1557</v>
      </c>
    </row>
    <row r="1390" customFormat="false" ht="14.25" hidden="false" customHeight="false" outlineLevel="0" collapsed="false">
      <c r="A1390" s="24" t="n">
        <v>310200</v>
      </c>
      <c r="B1390" s="32" t="s">
        <v>1558</v>
      </c>
    </row>
    <row r="1391" customFormat="false" ht="14.25" hidden="false" customHeight="false" outlineLevel="0" collapsed="false">
      <c r="A1391" s="24" t="n">
        <v>310201</v>
      </c>
      <c r="B1391" s="32" t="s">
        <v>1559</v>
      </c>
    </row>
    <row r="1392" customFormat="false" ht="14.25" hidden="false" customHeight="false" outlineLevel="0" collapsed="false">
      <c r="A1392" s="24" t="n">
        <v>310202</v>
      </c>
      <c r="B1392" s="32" t="s">
        <v>1560</v>
      </c>
    </row>
    <row r="1393" customFormat="false" ht="14.25" hidden="false" customHeight="false" outlineLevel="0" collapsed="false">
      <c r="A1393" s="24" t="n">
        <v>310203</v>
      </c>
      <c r="B1393" s="32" t="s">
        <v>1561</v>
      </c>
    </row>
    <row r="1394" customFormat="false" ht="14.25" hidden="false" customHeight="false" outlineLevel="0" collapsed="false">
      <c r="A1394" s="24" t="n">
        <v>310204</v>
      </c>
      <c r="B1394" s="32" t="s">
        <v>1562</v>
      </c>
    </row>
    <row r="1395" customFormat="false" ht="14.25" hidden="false" customHeight="false" outlineLevel="0" collapsed="false">
      <c r="A1395" s="24" t="n">
        <v>310205</v>
      </c>
      <c r="B1395" s="32" t="s">
        <v>1563</v>
      </c>
    </row>
    <row r="1396" customFormat="false" ht="14.25" hidden="false" customHeight="false" outlineLevel="0" collapsed="false">
      <c r="A1396" s="24" t="n">
        <v>310206</v>
      </c>
      <c r="B1396" s="32" t="s">
        <v>1564</v>
      </c>
    </row>
    <row r="1397" customFormat="false" ht="14.25" hidden="false" customHeight="false" outlineLevel="0" collapsed="false">
      <c r="A1397" s="24" t="n">
        <v>310210</v>
      </c>
      <c r="B1397" s="32" t="s">
        <v>1565</v>
      </c>
    </row>
    <row r="1398" customFormat="false" ht="14.25" hidden="false" customHeight="false" outlineLevel="0" collapsed="false">
      <c r="A1398" s="24" t="n">
        <v>310211</v>
      </c>
      <c r="B1398" s="32" t="s">
        <v>1566</v>
      </c>
    </row>
    <row r="1399" customFormat="false" ht="14.25" hidden="false" customHeight="false" outlineLevel="0" collapsed="false">
      <c r="A1399" s="24" t="n">
        <v>310212</v>
      </c>
      <c r="B1399" s="32" t="s">
        <v>1567</v>
      </c>
    </row>
    <row r="1400" customFormat="false" ht="14.25" hidden="false" customHeight="false" outlineLevel="0" collapsed="false">
      <c r="A1400" s="24" t="n">
        <v>310213</v>
      </c>
      <c r="B1400" s="32" t="s">
        <v>1568</v>
      </c>
    </row>
    <row r="1401" customFormat="false" ht="14.25" hidden="false" customHeight="false" outlineLevel="0" collapsed="false">
      <c r="A1401" s="24" t="n">
        <v>310220</v>
      </c>
      <c r="B1401" s="32" t="s">
        <v>1569</v>
      </c>
    </row>
    <row r="1402" customFormat="false" ht="14.25" hidden="false" customHeight="false" outlineLevel="0" collapsed="false">
      <c r="A1402" s="24" t="n">
        <v>310230</v>
      </c>
      <c r="B1402" s="32" t="s">
        <v>1570</v>
      </c>
    </row>
    <row r="1403" customFormat="false" ht="14.25" hidden="false" customHeight="false" outlineLevel="0" collapsed="false">
      <c r="A1403" s="24" t="n">
        <v>310240</v>
      </c>
      <c r="B1403" s="32" t="s">
        <v>1571</v>
      </c>
    </row>
    <row r="1404" customFormat="false" ht="14.25" hidden="false" customHeight="false" outlineLevel="0" collapsed="false">
      <c r="A1404" s="24" t="n">
        <v>310250</v>
      </c>
      <c r="B1404" s="32" t="s">
        <v>1572</v>
      </c>
    </row>
    <row r="1405" customFormat="false" ht="14.25" hidden="false" customHeight="false" outlineLevel="0" collapsed="false">
      <c r="A1405" s="24" t="n">
        <v>310260</v>
      </c>
      <c r="B1405" s="32" t="s">
        <v>1573</v>
      </c>
    </row>
    <row r="1406" customFormat="false" ht="16.4" hidden="false" customHeight="false" outlineLevel="0" collapsed="false">
      <c r="A1406" s="24" t="n">
        <v>310300</v>
      </c>
      <c r="B1406" s="32" t="s">
        <v>1574</v>
      </c>
    </row>
    <row r="1407" customFormat="false" ht="14.25" hidden="false" customHeight="false" outlineLevel="0" collapsed="false">
      <c r="A1407" s="24" t="n">
        <v>310400</v>
      </c>
      <c r="B1407" s="32" t="s">
        <v>1575</v>
      </c>
    </row>
    <row r="1408" customFormat="false" ht="14.25" hidden="false" customHeight="false" outlineLevel="0" collapsed="false">
      <c r="A1408" s="24" t="n">
        <v>310500</v>
      </c>
      <c r="B1408" s="32" t="s">
        <v>1576</v>
      </c>
    </row>
    <row r="1409" customFormat="false" ht="14.25" hidden="false" customHeight="false" outlineLevel="0" collapsed="false">
      <c r="A1409" s="24" t="n">
        <v>311000</v>
      </c>
      <c r="B1409" s="32" t="s">
        <v>1577</v>
      </c>
    </row>
    <row r="1410" customFormat="false" ht="14.25" hidden="false" customHeight="false" outlineLevel="0" collapsed="false">
      <c r="A1410" s="24" t="n">
        <v>311100</v>
      </c>
      <c r="B1410" s="32" t="s">
        <v>1578</v>
      </c>
    </row>
    <row r="1411" customFormat="false" ht="14.25" hidden="false" customHeight="false" outlineLevel="0" collapsed="false">
      <c r="A1411" s="24" t="n">
        <v>311200</v>
      </c>
      <c r="B1411" s="32" t="s">
        <v>1579</v>
      </c>
    </row>
    <row r="1412" customFormat="false" ht="14.25" hidden="false" customHeight="false" outlineLevel="0" collapsed="false">
      <c r="A1412" s="24" t="n">
        <v>311300</v>
      </c>
      <c r="B1412" s="32" t="s">
        <v>1580</v>
      </c>
    </row>
    <row r="1413" customFormat="false" ht="14.25" hidden="false" customHeight="false" outlineLevel="0" collapsed="false">
      <c r="A1413" s="24" t="n">
        <v>311310</v>
      </c>
      <c r="B1413" s="32" t="s">
        <v>1581</v>
      </c>
    </row>
    <row r="1414" customFormat="false" ht="14.25" hidden="false" customHeight="false" outlineLevel="0" collapsed="false">
      <c r="A1414" s="24" t="n">
        <v>311400</v>
      </c>
      <c r="B1414" s="32" t="s">
        <v>1582</v>
      </c>
    </row>
    <row r="1415" customFormat="false" ht="14.25" hidden="false" customHeight="false" outlineLevel="0" collapsed="false">
      <c r="A1415" s="24" t="n">
        <v>311500</v>
      </c>
      <c r="B1415" s="32" t="s">
        <v>1583</v>
      </c>
    </row>
    <row r="1416" customFormat="false" ht="14.25" hidden="false" customHeight="false" outlineLevel="0" collapsed="false">
      <c r="A1416" s="24" t="n">
        <v>311600</v>
      </c>
      <c r="B1416" s="32" t="s">
        <v>1584</v>
      </c>
    </row>
    <row r="1417" customFormat="false" ht="16.4" hidden="false" customHeight="false" outlineLevel="0" collapsed="false">
      <c r="A1417" s="24" t="n">
        <v>311700</v>
      </c>
      <c r="B1417" s="32" t="s">
        <v>1585</v>
      </c>
    </row>
    <row r="1418" customFormat="false" ht="14.25" hidden="false" customHeight="false" outlineLevel="0" collapsed="false">
      <c r="A1418" s="24" t="n">
        <v>311900</v>
      </c>
      <c r="B1418" s="32" t="s">
        <v>1586</v>
      </c>
    </row>
    <row r="1419" customFormat="false" ht="14.25" hidden="false" customHeight="false" outlineLevel="0" collapsed="false">
      <c r="A1419" s="24" t="n">
        <v>319600</v>
      </c>
      <c r="B1419" s="32" t="s">
        <v>1587</v>
      </c>
    </row>
    <row r="1420" customFormat="false" ht="14.25" hidden="false" customHeight="false" outlineLevel="0" collapsed="false">
      <c r="A1420" s="24" t="n">
        <v>320000</v>
      </c>
      <c r="B1420" s="32" t="s">
        <v>1588</v>
      </c>
    </row>
    <row r="1421" customFormat="false" ht="14.25" hidden="false" customHeight="false" outlineLevel="0" collapsed="false">
      <c r="A1421" s="24" t="n">
        <v>321000</v>
      </c>
      <c r="B1421" s="32" t="s">
        <v>1516</v>
      </c>
    </row>
    <row r="1422" customFormat="false" ht="14.25" hidden="false" customHeight="false" outlineLevel="0" collapsed="false">
      <c r="A1422" s="24" t="n">
        <v>321100</v>
      </c>
      <c r="B1422" s="32" t="s">
        <v>1589</v>
      </c>
    </row>
    <row r="1423" customFormat="false" ht="14.25" hidden="false" customHeight="false" outlineLevel="0" collapsed="false">
      <c r="A1423" s="24" t="n">
        <v>321200</v>
      </c>
      <c r="B1423" s="32" t="s">
        <v>1590</v>
      </c>
    </row>
    <row r="1424" customFormat="false" ht="14.25" hidden="false" customHeight="false" outlineLevel="0" collapsed="false">
      <c r="A1424" s="24" t="n">
        <v>321300</v>
      </c>
      <c r="B1424" s="32" t="s">
        <v>1591</v>
      </c>
    </row>
    <row r="1425" customFormat="false" ht="14.25" hidden="false" customHeight="false" outlineLevel="0" collapsed="false">
      <c r="A1425" s="24" t="n">
        <v>321400</v>
      </c>
      <c r="B1425" s="32" t="s">
        <v>1592</v>
      </c>
    </row>
    <row r="1426" customFormat="false" ht="16.4" hidden="false" customHeight="false" outlineLevel="0" collapsed="false">
      <c r="A1426" s="24" t="n">
        <v>321500</v>
      </c>
      <c r="B1426" s="32" t="s">
        <v>1593</v>
      </c>
    </row>
    <row r="1427" customFormat="false" ht="14.25" hidden="false" customHeight="false" outlineLevel="0" collapsed="false">
      <c r="A1427" s="24" t="n">
        <v>321600</v>
      </c>
      <c r="B1427" s="32" t="s">
        <v>1594</v>
      </c>
    </row>
    <row r="1428" customFormat="false" ht="14.25" hidden="false" customHeight="false" outlineLevel="0" collapsed="false">
      <c r="A1428" s="24" t="n">
        <v>321900</v>
      </c>
      <c r="B1428" s="32" t="s">
        <v>1595</v>
      </c>
    </row>
    <row r="1429" customFormat="false" ht="14.25" hidden="false" customHeight="false" outlineLevel="0" collapsed="false">
      <c r="A1429" s="24" t="n">
        <v>322000</v>
      </c>
      <c r="B1429" s="32" t="s">
        <v>1596</v>
      </c>
    </row>
    <row r="1430" customFormat="false" ht="14.25" hidden="false" customHeight="false" outlineLevel="0" collapsed="false">
      <c r="A1430" s="24" t="n">
        <v>322200</v>
      </c>
      <c r="B1430" s="32" t="s">
        <v>1597</v>
      </c>
    </row>
    <row r="1431" customFormat="false" ht="14.25" hidden="false" customHeight="false" outlineLevel="0" collapsed="false">
      <c r="A1431" s="24" t="n">
        <v>322400</v>
      </c>
      <c r="B1431" s="32" t="s">
        <v>1598</v>
      </c>
    </row>
    <row r="1432" customFormat="false" ht="16.4" hidden="false" customHeight="false" outlineLevel="0" collapsed="false">
      <c r="A1432" s="24" t="n">
        <v>331100</v>
      </c>
      <c r="B1432" s="32" t="s">
        <v>1599</v>
      </c>
    </row>
    <row r="1433" customFormat="false" ht="14.25" hidden="false" customHeight="false" outlineLevel="0" collapsed="false">
      <c r="A1433" s="24" t="n">
        <v>331200</v>
      </c>
      <c r="B1433" s="32" t="s">
        <v>1600</v>
      </c>
    </row>
    <row r="1434" customFormat="false" ht="16.4" hidden="false" customHeight="false" outlineLevel="0" collapsed="false">
      <c r="A1434" s="24" t="n">
        <v>331300</v>
      </c>
      <c r="B1434" s="32" t="s">
        <v>1601</v>
      </c>
    </row>
    <row r="1435" customFormat="false" ht="14.25" hidden="false" customHeight="false" outlineLevel="0" collapsed="false">
      <c r="A1435" s="24" t="n">
        <v>331400</v>
      </c>
      <c r="B1435" s="32" t="s">
        <v>1602</v>
      </c>
    </row>
    <row r="1436" customFormat="false" ht="14.25" hidden="false" customHeight="false" outlineLevel="0" collapsed="false">
      <c r="A1436" s="24" t="n">
        <v>331500</v>
      </c>
      <c r="B1436" s="32" t="s">
        <v>1603</v>
      </c>
    </row>
    <row r="1437" customFormat="false" ht="14.25" hidden="false" customHeight="false" outlineLevel="0" collapsed="false">
      <c r="A1437" s="24" t="n">
        <v>331600</v>
      </c>
      <c r="B1437" s="32" t="s">
        <v>1604</v>
      </c>
    </row>
    <row r="1438" customFormat="false" ht="16.4" hidden="false" customHeight="false" outlineLevel="0" collapsed="false">
      <c r="A1438" s="24" t="n">
        <v>331700</v>
      </c>
      <c r="B1438" s="32" t="s">
        <v>1605</v>
      </c>
    </row>
    <row r="1439" customFormat="false" ht="16.4" hidden="false" customHeight="false" outlineLevel="0" collapsed="false">
      <c r="A1439" s="24" t="n">
        <v>331800</v>
      </c>
      <c r="B1439" s="32" t="s">
        <v>1606</v>
      </c>
    </row>
    <row r="1440" customFormat="false" ht="14.25" hidden="false" customHeight="false" outlineLevel="0" collapsed="false">
      <c r="A1440" s="24" t="n">
        <v>331810</v>
      </c>
      <c r="B1440" s="32" t="s">
        <v>1607</v>
      </c>
    </row>
    <row r="1441" customFormat="false" ht="14.25" hidden="false" customHeight="false" outlineLevel="0" collapsed="false">
      <c r="A1441" s="24" t="n">
        <v>331820</v>
      </c>
      <c r="B1441" s="32" t="s">
        <v>1608</v>
      </c>
    </row>
    <row r="1442" customFormat="false" ht="14.25" hidden="false" customHeight="false" outlineLevel="0" collapsed="false">
      <c r="A1442" s="24" t="n">
        <v>331830</v>
      </c>
      <c r="B1442" s="32" t="s">
        <v>1609</v>
      </c>
    </row>
    <row r="1443" customFormat="false" ht="14.25" hidden="false" customHeight="false" outlineLevel="0" collapsed="false">
      <c r="A1443" s="24" t="n">
        <v>339000</v>
      </c>
      <c r="B1443" s="32" t="s">
        <v>1610</v>
      </c>
    </row>
    <row r="1444" customFormat="false" ht="14.25" hidden="false" customHeight="false" outlineLevel="0" collapsed="false">
      <c r="A1444" s="24" t="n">
        <v>339100</v>
      </c>
      <c r="B1444" s="32" t="s">
        <v>1611</v>
      </c>
    </row>
    <row r="1445" customFormat="false" ht="14.25" hidden="false" customHeight="false" outlineLevel="0" collapsed="false">
      <c r="A1445" s="24" t="n">
        <v>339200</v>
      </c>
      <c r="B1445" s="32" t="s">
        <v>1612</v>
      </c>
    </row>
    <row r="1446" customFormat="false" ht="14.25" hidden="false" customHeight="false" outlineLevel="0" collapsed="false">
      <c r="A1446" s="24" t="n">
        <v>339300</v>
      </c>
      <c r="B1446" s="32" t="s">
        <v>1613</v>
      </c>
    </row>
    <row r="1447" customFormat="false" ht="14.25" hidden="false" customHeight="false" outlineLevel="0" collapsed="false">
      <c r="A1447" s="24" t="n">
        <v>339400</v>
      </c>
      <c r="B1447" s="32" t="s">
        <v>1614</v>
      </c>
    </row>
    <row r="1448" customFormat="false" ht="14.25" hidden="false" customHeight="false" outlineLevel="0" collapsed="false">
      <c r="A1448" s="24" t="n">
        <v>339500</v>
      </c>
      <c r="B1448" s="32" t="s">
        <v>1615</v>
      </c>
    </row>
    <row r="1449" customFormat="false" ht="14.25" hidden="false" customHeight="false" outlineLevel="0" collapsed="false">
      <c r="A1449" s="24" t="n">
        <v>339900</v>
      </c>
      <c r="B1449" s="32" t="s">
        <v>1616</v>
      </c>
    </row>
    <row r="1450" customFormat="false" ht="14.25" hidden="false" customHeight="false" outlineLevel="0" collapsed="false">
      <c r="A1450" s="24" t="n">
        <v>341108</v>
      </c>
      <c r="B1450" s="32" t="s">
        <v>1617</v>
      </c>
    </row>
    <row r="1451" customFormat="false" ht="14.25" hidden="false" customHeight="false" outlineLevel="0" collapsed="false">
      <c r="A1451" s="24" t="n">
        <v>341200</v>
      </c>
      <c r="B1451" s="32" t="s">
        <v>1618</v>
      </c>
    </row>
    <row r="1452" customFormat="false" ht="14.25" hidden="false" customHeight="false" outlineLevel="0" collapsed="false">
      <c r="A1452" s="24" t="n">
        <v>341400</v>
      </c>
      <c r="B1452" s="32" t="s">
        <v>1619</v>
      </c>
    </row>
    <row r="1453" customFormat="false" ht="14.25" hidden="false" customHeight="false" outlineLevel="0" collapsed="false">
      <c r="A1453" s="24" t="n">
        <v>342200</v>
      </c>
      <c r="B1453" s="32" t="s">
        <v>1620</v>
      </c>
    </row>
    <row r="1454" customFormat="false" ht="14.25" hidden="false" customHeight="false" outlineLevel="0" collapsed="false">
      <c r="A1454" s="24" t="n">
        <v>342300</v>
      </c>
      <c r="B1454" s="32" t="s">
        <v>1621</v>
      </c>
    </row>
    <row r="1455" customFormat="false" ht="14.25" hidden="false" customHeight="false" outlineLevel="0" collapsed="false">
      <c r="A1455" s="24" t="n">
        <v>342400</v>
      </c>
      <c r="B1455" s="32" t="s">
        <v>1622</v>
      </c>
    </row>
    <row r="1456" customFormat="false" ht="14.25" hidden="false" customHeight="false" outlineLevel="0" collapsed="false">
      <c r="A1456" s="24" t="n">
        <v>342500</v>
      </c>
      <c r="B1456" s="32" t="s">
        <v>1623</v>
      </c>
    </row>
    <row r="1457" customFormat="false" ht="14.25" hidden="false" customHeight="false" outlineLevel="0" collapsed="false">
      <c r="A1457" s="24" t="n">
        <v>342600</v>
      </c>
      <c r="B1457" s="32" t="s">
        <v>1624</v>
      </c>
    </row>
    <row r="1458" customFormat="false" ht="14.25" hidden="false" customHeight="false" outlineLevel="0" collapsed="false">
      <c r="A1458" s="24" t="n">
        <v>351200</v>
      </c>
      <c r="B1458" s="32" t="s">
        <v>1625</v>
      </c>
    </row>
    <row r="1459" customFormat="false" ht="14.25" hidden="false" customHeight="false" outlineLevel="0" collapsed="false">
      <c r="A1459" s="24" t="n">
        <v>351400</v>
      </c>
      <c r="B1459" s="32" t="s">
        <v>1626</v>
      </c>
    </row>
    <row r="1460" customFormat="false" ht="16.4" hidden="false" customHeight="false" outlineLevel="0" collapsed="false">
      <c r="A1460" s="24" t="n">
        <v>352200</v>
      </c>
      <c r="B1460" s="32" t="s">
        <v>1627</v>
      </c>
    </row>
    <row r="1461" customFormat="false" ht="14.25" hidden="false" customHeight="false" outlineLevel="0" collapsed="false">
      <c r="A1461" s="24" t="n">
        <v>352400</v>
      </c>
      <c r="B1461" s="32" t="s">
        <v>1628</v>
      </c>
    </row>
    <row r="1462" customFormat="false" ht="14.25" hidden="false" customHeight="false" outlineLevel="0" collapsed="false">
      <c r="A1462" s="24" t="n">
        <v>353000</v>
      </c>
      <c r="B1462" s="32" t="s">
        <v>1629</v>
      </c>
    </row>
    <row r="1463" customFormat="false" ht="14.25" hidden="false" customHeight="false" outlineLevel="0" collapsed="false">
      <c r="A1463" s="24" t="n">
        <v>358000</v>
      </c>
      <c r="B1463" s="32" t="s">
        <v>1630</v>
      </c>
    </row>
    <row r="1464" customFormat="false" ht="14.25" hidden="false" customHeight="false" outlineLevel="0" collapsed="false">
      <c r="A1464" s="24" t="n">
        <v>358100</v>
      </c>
      <c r="B1464" s="32" t="s">
        <v>1631</v>
      </c>
    </row>
    <row r="1465" customFormat="false" ht="14.25" hidden="false" customHeight="false" outlineLevel="0" collapsed="false">
      <c r="A1465" s="24" t="n">
        <v>358200</v>
      </c>
      <c r="B1465" s="32" t="s">
        <v>1632</v>
      </c>
    </row>
    <row r="1466" customFormat="false" ht="14.25" hidden="false" customHeight="false" outlineLevel="0" collapsed="false">
      <c r="A1466" s="24" t="n">
        <v>359150</v>
      </c>
      <c r="B1466" s="32" t="s">
        <v>1633</v>
      </c>
    </row>
    <row r="1467" customFormat="false" ht="14.25" hidden="false" customHeight="false" outlineLevel="0" collapsed="false">
      <c r="A1467" s="24" t="n">
        <v>359200</v>
      </c>
      <c r="B1467" s="32" t="s">
        <v>1634</v>
      </c>
    </row>
    <row r="1468" customFormat="false" ht="14.25" hidden="false" customHeight="false" outlineLevel="0" collapsed="false">
      <c r="A1468" s="24" t="n">
        <v>359250</v>
      </c>
      <c r="B1468" s="32" t="s">
        <v>1635</v>
      </c>
    </row>
    <row r="1469" customFormat="false" ht="14.25" hidden="false" customHeight="false" outlineLevel="0" collapsed="false">
      <c r="A1469" s="24" t="n">
        <v>359260</v>
      </c>
      <c r="B1469" s="32" t="s">
        <v>1636</v>
      </c>
    </row>
    <row r="1470" customFormat="false" ht="14.25" hidden="false" customHeight="false" outlineLevel="0" collapsed="false">
      <c r="A1470" s="24" t="n">
        <v>359261</v>
      </c>
      <c r="B1470" s="32" t="s">
        <v>1637</v>
      </c>
    </row>
    <row r="1471" customFormat="false" ht="14.25" hidden="false" customHeight="false" outlineLevel="0" collapsed="false">
      <c r="A1471" s="24" t="n">
        <v>359262</v>
      </c>
      <c r="B1471" s="32" t="s">
        <v>1638</v>
      </c>
    </row>
    <row r="1472" customFormat="false" ht="14.25" hidden="false" customHeight="false" outlineLevel="0" collapsed="false">
      <c r="A1472" s="24" t="n">
        <v>359263</v>
      </c>
      <c r="B1472" s="32" t="s">
        <v>1639</v>
      </c>
    </row>
    <row r="1473" customFormat="false" ht="14.25" hidden="false" customHeight="false" outlineLevel="0" collapsed="false">
      <c r="A1473" s="24" t="n">
        <v>359264</v>
      </c>
      <c r="B1473" s="32" t="s">
        <v>1640</v>
      </c>
    </row>
    <row r="1474" customFormat="false" ht="14.25" hidden="false" customHeight="false" outlineLevel="0" collapsed="false">
      <c r="A1474" s="24" t="n">
        <v>359265</v>
      </c>
      <c r="B1474" s="32" t="s">
        <v>1641</v>
      </c>
    </row>
    <row r="1475" customFormat="false" ht="16.4" hidden="false" customHeight="false" outlineLevel="0" collapsed="false">
      <c r="A1475" s="24" t="n">
        <v>359266</v>
      </c>
      <c r="B1475" s="32" t="s">
        <v>1642</v>
      </c>
    </row>
    <row r="1476" customFormat="false" ht="14.25" hidden="false" customHeight="false" outlineLevel="0" collapsed="false">
      <c r="A1476" s="24" t="n">
        <v>359267</v>
      </c>
      <c r="B1476" s="32" t="s">
        <v>1643</v>
      </c>
    </row>
    <row r="1477" customFormat="false" ht="14.25" hidden="false" customHeight="false" outlineLevel="0" collapsed="false">
      <c r="A1477" s="24" t="n">
        <v>359268</v>
      </c>
      <c r="B1477" s="32" t="s">
        <v>1644</v>
      </c>
    </row>
    <row r="1478" customFormat="false" ht="14.25" hidden="false" customHeight="false" outlineLevel="0" collapsed="false">
      <c r="A1478" s="24" t="n">
        <v>359269</v>
      </c>
      <c r="B1478" s="32" t="s">
        <v>1645</v>
      </c>
    </row>
    <row r="1479" customFormat="false" ht="14.25" hidden="false" customHeight="false" outlineLevel="0" collapsed="false">
      <c r="A1479" s="24" t="n">
        <v>359270</v>
      </c>
      <c r="B1479" s="32" t="s">
        <v>1646</v>
      </c>
    </row>
    <row r="1480" customFormat="false" ht="14.25" hidden="false" customHeight="false" outlineLevel="0" collapsed="false">
      <c r="A1480" s="24" t="n">
        <v>359271</v>
      </c>
      <c r="B1480" s="32" t="s">
        <v>1647</v>
      </c>
    </row>
    <row r="1481" customFormat="false" ht="14.25" hidden="false" customHeight="false" outlineLevel="0" collapsed="false">
      <c r="A1481" s="24" t="n">
        <v>359272</v>
      </c>
      <c r="B1481" s="32" t="s">
        <v>1648</v>
      </c>
    </row>
    <row r="1482" customFormat="false" ht="14.25" hidden="false" customHeight="false" outlineLevel="0" collapsed="false">
      <c r="A1482" s="24" t="n">
        <v>359273</v>
      </c>
      <c r="B1482" s="32" t="s">
        <v>1649</v>
      </c>
    </row>
    <row r="1483" customFormat="false" ht="14.25" hidden="false" customHeight="false" outlineLevel="0" collapsed="false">
      <c r="A1483" s="24" t="n">
        <v>359274</v>
      </c>
      <c r="B1483" s="32" t="s">
        <v>1650</v>
      </c>
    </row>
    <row r="1484" customFormat="false" ht="14.25" hidden="false" customHeight="false" outlineLevel="0" collapsed="false">
      <c r="A1484" s="24" t="n">
        <v>359280</v>
      </c>
      <c r="B1484" s="32" t="s">
        <v>1651</v>
      </c>
    </row>
    <row r="1485" customFormat="false" ht="14.25" hidden="false" customHeight="false" outlineLevel="0" collapsed="false">
      <c r="A1485" s="24" t="n">
        <v>359290</v>
      </c>
      <c r="B1485" s="32" t="s">
        <v>1652</v>
      </c>
    </row>
    <row r="1486" customFormat="false" ht="14.25" hidden="false" customHeight="false" outlineLevel="0" collapsed="false">
      <c r="A1486" s="24" t="n">
        <v>359300</v>
      </c>
      <c r="B1486" s="32" t="s">
        <v>1653</v>
      </c>
    </row>
    <row r="1487" customFormat="false" ht="14.25" hidden="false" customHeight="false" outlineLevel="0" collapsed="false">
      <c r="A1487" s="24" t="n">
        <v>359310</v>
      </c>
      <c r="B1487" s="32" t="s">
        <v>1654</v>
      </c>
    </row>
    <row r="1488" customFormat="false" ht="14.25" hidden="false" customHeight="false" outlineLevel="0" collapsed="false">
      <c r="A1488" s="24" t="n">
        <v>359320</v>
      </c>
      <c r="B1488" s="32" t="s">
        <v>1655</v>
      </c>
    </row>
    <row r="1489" customFormat="false" ht="14.25" hidden="false" customHeight="false" outlineLevel="0" collapsed="false">
      <c r="A1489" s="24" t="n">
        <v>359330</v>
      </c>
      <c r="B1489" s="32" t="s">
        <v>1656</v>
      </c>
    </row>
    <row r="1490" customFormat="false" ht="14.25" hidden="false" customHeight="false" outlineLevel="0" collapsed="false">
      <c r="A1490" s="24" t="n">
        <v>359331</v>
      </c>
      <c r="B1490" s="32" t="s">
        <v>1657</v>
      </c>
    </row>
    <row r="1491" customFormat="false" ht="14.25" hidden="false" customHeight="false" outlineLevel="0" collapsed="false">
      <c r="A1491" s="24" t="n">
        <v>359350</v>
      </c>
      <c r="B1491" s="32" t="s">
        <v>1658</v>
      </c>
    </row>
    <row r="1492" customFormat="false" ht="14.25" hidden="false" customHeight="false" outlineLevel="0" collapsed="false">
      <c r="A1492" s="24" t="n">
        <v>359360</v>
      </c>
      <c r="B1492" s="32" t="s">
        <v>1659</v>
      </c>
    </row>
    <row r="1493" customFormat="false" ht="14.25" hidden="false" customHeight="false" outlineLevel="0" collapsed="false">
      <c r="A1493" s="24" t="n">
        <v>359362</v>
      </c>
      <c r="B1493" s="32" t="s">
        <v>1660</v>
      </c>
    </row>
    <row r="1494" customFormat="false" ht="14.25" hidden="false" customHeight="false" outlineLevel="0" collapsed="false">
      <c r="A1494" s="24" t="n">
        <v>359363</v>
      </c>
      <c r="B1494" s="32" t="s">
        <v>1661</v>
      </c>
    </row>
    <row r="1495" customFormat="false" ht="14.25" hidden="false" customHeight="false" outlineLevel="0" collapsed="false">
      <c r="A1495" s="24" t="n">
        <v>359370</v>
      </c>
      <c r="B1495" s="32" t="s">
        <v>1662</v>
      </c>
    </row>
    <row r="1496" customFormat="false" ht="14.25" hidden="false" customHeight="false" outlineLevel="0" collapsed="false">
      <c r="A1496" s="24" t="n">
        <v>359380</v>
      </c>
      <c r="B1496" s="32" t="s">
        <v>1663</v>
      </c>
    </row>
    <row r="1497" customFormat="false" ht="14.25" hidden="false" customHeight="false" outlineLevel="0" collapsed="false">
      <c r="A1497" s="24" t="n">
        <v>359400</v>
      </c>
      <c r="B1497" s="32" t="s">
        <v>1664</v>
      </c>
    </row>
    <row r="1498" customFormat="false" ht="14.25" hidden="false" customHeight="false" outlineLevel="0" collapsed="false">
      <c r="A1498" s="24" t="n">
        <v>359440</v>
      </c>
      <c r="B1498" s="32" t="s">
        <v>1665</v>
      </c>
    </row>
    <row r="1499" customFormat="false" ht="14.25" hidden="false" customHeight="false" outlineLevel="0" collapsed="false">
      <c r="A1499" s="24" t="n">
        <v>359450</v>
      </c>
      <c r="B1499" s="32" t="s">
        <v>1666</v>
      </c>
    </row>
    <row r="1500" customFormat="false" ht="14.25" hidden="false" customHeight="false" outlineLevel="0" collapsed="false">
      <c r="A1500" s="24" t="n">
        <v>359500</v>
      </c>
      <c r="B1500" s="32" t="s">
        <v>1667</v>
      </c>
    </row>
    <row r="1501" customFormat="false" ht="14.25" hidden="false" customHeight="false" outlineLevel="0" collapsed="false">
      <c r="A1501" s="24" t="n">
        <v>359550</v>
      </c>
      <c r="B1501" s="32" t="s">
        <v>1668</v>
      </c>
    </row>
    <row r="1502" customFormat="false" ht="16.4" hidden="false" customHeight="false" outlineLevel="0" collapsed="false">
      <c r="A1502" s="24" t="n">
        <v>359560</v>
      </c>
      <c r="B1502" s="32" t="s">
        <v>1669</v>
      </c>
    </row>
    <row r="1503" customFormat="false" ht="14.25" hidden="false" customHeight="false" outlineLevel="0" collapsed="false">
      <c r="A1503" s="24" t="n">
        <v>359900</v>
      </c>
      <c r="B1503" s="32" t="s">
        <v>1670</v>
      </c>
    </row>
    <row r="1504" customFormat="false" ht="16.4" hidden="false" customHeight="false" outlineLevel="0" collapsed="false">
      <c r="A1504" s="24" t="n">
        <v>360200</v>
      </c>
      <c r="B1504" s="32" t="s">
        <v>1671</v>
      </c>
    </row>
    <row r="1505" customFormat="false" ht="14.25" hidden="false" customHeight="false" outlineLevel="0" collapsed="false">
      <c r="A1505" s="24" t="n">
        <v>360300</v>
      </c>
      <c r="B1505" s="32" t="s">
        <v>1672</v>
      </c>
    </row>
    <row r="1506" customFormat="false" ht="14.25" hidden="false" customHeight="false" outlineLevel="0" collapsed="false">
      <c r="A1506" s="24" t="n">
        <v>360400</v>
      </c>
      <c r="B1506" s="32" t="s">
        <v>1673</v>
      </c>
    </row>
    <row r="1507" customFormat="false" ht="14.25" hidden="false" customHeight="false" outlineLevel="0" collapsed="false">
      <c r="A1507" s="24" t="n">
        <v>360900</v>
      </c>
      <c r="B1507" s="32" t="s">
        <v>1674</v>
      </c>
    </row>
    <row r="1508" customFormat="false" ht="14.25" hidden="false" customHeight="false" outlineLevel="0" collapsed="false">
      <c r="A1508" s="24" t="n">
        <v>370100</v>
      </c>
      <c r="B1508" s="32" t="s">
        <v>1675</v>
      </c>
    </row>
    <row r="1509" customFormat="false" ht="14.25" hidden="false" customHeight="false" outlineLevel="0" collapsed="false">
      <c r="A1509" s="24" t="n">
        <v>370200</v>
      </c>
      <c r="B1509" s="32" t="s">
        <v>1676</v>
      </c>
    </row>
    <row r="1510" customFormat="false" ht="16.4" hidden="false" customHeight="false" outlineLevel="0" collapsed="false">
      <c r="A1510" s="24" t="n">
        <v>370300</v>
      </c>
      <c r="B1510" s="32" t="s">
        <v>1677</v>
      </c>
    </row>
    <row r="1511" customFormat="false" ht="14.25" hidden="false" customHeight="false" outlineLevel="0" collapsed="false">
      <c r="A1511" s="24" t="n">
        <v>370400</v>
      </c>
      <c r="B1511" s="32" t="s">
        <v>1678</v>
      </c>
    </row>
    <row r="1512" customFormat="false" ht="14.25" hidden="false" customHeight="false" outlineLevel="0" collapsed="false">
      <c r="A1512" s="24" t="n">
        <v>370500</v>
      </c>
      <c r="B1512" s="32" t="s">
        <v>1679</v>
      </c>
    </row>
    <row r="1513" customFormat="false" ht="14.25" hidden="false" customHeight="false" outlineLevel="0" collapsed="false">
      <c r="A1513" s="24" t="n">
        <v>370600</v>
      </c>
      <c r="B1513" s="32" t="s">
        <v>1680</v>
      </c>
    </row>
    <row r="1514" customFormat="false" ht="14.25" hidden="false" customHeight="false" outlineLevel="0" collapsed="false">
      <c r="A1514" s="24" t="n">
        <v>371000</v>
      </c>
      <c r="B1514" s="32" t="s">
        <v>1681</v>
      </c>
    </row>
    <row r="1515" customFormat="false" ht="14.25" hidden="false" customHeight="false" outlineLevel="0" collapsed="false">
      <c r="A1515" s="24" t="n">
        <v>380200</v>
      </c>
      <c r="B1515" s="32" t="s">
        <v>1682</v>
      </c>
    </row>
    <row r="1516" customFormat="false" ht="16.4" hidden="false" customHeight="false" outlineLevel="0" collapsed="false">
      <c r="A1516" s="24" t="n">
        <v>380300</v>
      </c>
      <c r="B1516" s="32" t="s">
        <v>1683</v>
      </c>
    </row>
    <row r="1517" customFormat="false" ht="16.4" hidden="false" customHeight="false" outlineLevel="0" collapsed="false">
      <c r="A1517" s="24" t="n">
        <v>380400</v>
      </c>
      <c r="B1517" s="32" t="s">
        <v>1684</v>
      </c>
    </row>
    <row r="1518" customFormat="false" ht="14.25" hidden="false" customHeight="false" outlineLevel="0" collapsed="false">
      <c r="A1518" s="24" t="n">
        <v>380500</v>
      </c>
      <c r="B1518" s="32" t="s">
        <v>1685</v>
      </c>
    </row>
    <row r="1519" customFormat="false" ht="14.25" hidden="false" customHeight="false" outlineLevel="0" collapsed="false">
      <c r="A1519" s="24" t="n">
        <v>380600</v>
      </c>
      <c r="B1519" s="32" t="s">
        <v>1686</v>
      </c>
    </row>
    <row r="1520" customFormat="false" ht="14.25" hidden="false" customHeight="false" outlineLevel="0" collapsed="false">
      <c r="A1520" s="24" t="n">
        <v>380700</v>
      </c>
      <c r="B1520" s="32" t="s">
        <v>1687</v>
      </c>
    </row>
    <row r="1521" customFormat="false" ht="14.25" hidden="false" customHeight="false" outlineLevel="0" collapsed="false">
      <c r="A1521" s="24" t="n">
        <v>380800</v>
      </c>
      <c r="B1521" s="32" t="s">
        <v>1688</v>
      </c>
    </row>
    <row r="1522" customFormat="false" ht="14.25" hidden="false" customHeight="false" outlineLevel="0" collapsed="false">
      <c r="A1522" s="24" t="n">
        <v>380900</v>
      </c>
      <c r="B1522" s="32" t="s">
        <v>1689</v>
      </c>
    </row>
    <row r="1523" customFormat="false" ht="14.25" hidden="false" customHeight="false" outlineLevel="0" collapsed="false">
      <c r="A1523" s="24" t="n">
        <v>381000</v>
      </c>
      <c r="B1523" s="32" t="s">
        <v>1690</v>
      </c>
    </row>
    <row r="1524" customFormat="false" ht="14.25" hidden="false" customHeight="false" outlineLevel="0" collapsed="false">
      <c r="A1524" s="24" t="n">
        <v>391000</v>
      </c>
      <c r="B1524" s="32" t="s">
        <v>1691</v>
      </c>
    </row>
    <row r="1525" customFormat="false" ht="14.25" hidden="false" customHeight="false" outlineLevel="0" collapsed="false">
      <c r="A1525" s="24" t="n">
        <v>391200</v>
      </c>
      <c r="B1525" s="32" t="s">
        <v>1692</v>
      </c>
    </row>
    <row r="1526" customFormat="false" ht="14.25" hidden="false" customHeight="false" outlineLevel="0" collapsed="false">
      <c r="A1526" s="24" t="n">
        <v>391300</v>
      </c>
      <c r="B1526" s="32" t="s">
        <v>1693</v>
      </c>
    </row>
    <row r="1527" customFormat="false" ht="14.25" hidden="false" customHeight="false" outlineLevel="0" collapsed="false">
      <c r="A1527" s="24" t="n">
        <v>391400</v>
      </c>
      <c r="B1527" s="32" t="s">
        <v>1694</v>
      </c>
    </row>
    <row r="1528" customFormat="false" ht="14.25" hidden="false" customHeight="false" outlineLevel="0" collapsed="false">
      <c r="A1528" s="24" t="n">
        <v>391410</v>
      </c>
      <c r="B1528" s="32" t="s">
        <v>1695</v>
      </c>
    </row>
    <row r="1529" customFormat="false" ht="16.4" hidden="false" customHeight="false" outlineLevel="0" collapsed="false">
      <c r="A1529" s="24" t="n">
        <v>391500</v>
      </c>
      <c r="B1529" s="32" t="s">
        <v>1696</v>
      </c>
    </row>
    <row r="1530" customFormat="false" ht="14.25" hidden="false" customHeight="false" outlineLevel="0" collapsed="false">
      <c r="A1530" s="24" t="n">
        <v>392200</v>
      </c>
      <c r="B1530" s="32" t="s">
        <v>1697</v>
      </c>
    </row>
    <row r="1531" customFormat="false" ht="14.25" hidden="false" customHeight="false" outlineLevel="0" collapsed="false">
      <c r="A1531" s="24" t="n">
        <v>392400</v>
      </c>
      <c r="B1531" s="32" t="s">
        <v>1698</v>
      </c>
    </row>
    <row r="1532" customFormat="false" ht="14.25" hidden="false" customHeight="false" outlineLevel="0" collapsed="false">
      <c r="A1532" s="24" t="n">
        <v>392500</v>
      </c>
      <c r="B1532" s="32" t="s">
        <v>1699</v>
      </c>
    </row>
    <row r="1533" customFormat="false" ht="16.4" hidden="false" customHeight="false" outlineLevel="0" collapsed="false">
      <c r="A1533" s="24" t="n">
        <v>393100</v>
      </c>
      <c r="B1533" s="33" t="s">
        <v>1700</v>
      </c>
    </row>
    <row r="1534" customFormat="false" ht="14.25" hidden="false" customHeight="false" outlineLevel="0" collapsed="false">
      <c r="A1534" s="24" t="n">
        <v>393200</v>
      </c>
      <c r="B1534" s="32" t="s">
        <v>1701</v>
      </c>
    </row>
    <row r="1535" customFormat="false" ht="14.25" hidden="false" customHeight="false" outlineLevel="0" collapsed="false">
      <c r="A1535" s="24" t="n">
        <v>393300</v>
      </c>
      <c r="B1535" s="32" t="s">
        <v>1702</v>
      </c>
    </row>
    <row r="1536" customFormat="false" ht="14.25" hidden="false" customHeight="false" outlineLevel="0" collapsed="false">
      <c r="A1536" s="24" t="n">
        <v>393400</v>
      </c>
      <c r="B1536" s="32" t="s">
        <v>1703</v>
      </c>
    </row>
    <row r="1537" customFormat="false" ht="14.25" hidden="false" customHeight="false" outlineLevel="0" collapsed="false">
      <c r="A1537" s="24" t="n">
        <v>393500</v>
      </c>
      <c r="B1537" s="32" t="s">
        <v>1704</v>
      </c>
    </row>
    <row r="1538" customFormat="false" ht="14.25" hidden="false" customHeight="false" outlineLevel="0" collapsed="false">
      <c r="A1538" s="24" t="n">
        <v>393600</v>
      </c>
      <c r="B1538" s="32" t="s">
        <v>1705</v>
      </c>
    </row>
    <row r="1539" customFormat="false" ht="14.25" hidden="false" customHeight="false" outlineLevel="0" collapsed="false">
      <c r="A1539" s="24" t="n">
        <v>393900</v>
      </c>
      <c r="B1539" s="32" t="s">
        <v>1706</v>
      </c>
    </row>
    <row r="1540" customFormat="false" ht="16.4" hidden="false" customHeight="false" outlineLevel="0" collapsed="false">
      <c r="A1540" s="24" t="n">
        <v>394100</v>
      </c>
      <c r="B1540" s="32" t="s">
        <v>1707</v>
      </c>
    </row>
    <row r="1541" customFormat="false" ht="14.25" hidden="false" customHeight="false" outlineLevel="0" collapsed="false">
      <c r="A1541" s="24" t="n">
        <v>394200</v>
      </c>
      <c r="B1541" s="32" t="s">
        <v>1708</v>
      </c>
    </row>
    <row r="1542" customFormat="false" ht="14.25" hidden="false" customHeight="false" outlineLevel="0" collapsed="false">
      <c r="A1542" s="24" t="n">
        <v>394300</v>
      </c>
      <c r="B1542" s="32" t="s">
        <v>1709</v>
      </c>
    </row>
    <row r="1543" customFormat="false" ht="14.25" hidden="false" customHeight="false" outlineLevel="0" collapsed="false">
      <c r="A1543" s="24" t="n">
        <v>394400</v>
      </c>
      <c r="B1543" s="32" t="s">
        <v>1710</v>
      </c>
    </row>
    <row r="1544" customFormat="false" ht="14.25" hidden="false" customHeight="false" outlineLevel="0" collapsed="false">
      <c r="A1544" s="24" t="n">
        <v>394500</v>
      </c>
      <c r="B1544" s="32" t="s">
        <v>1711</v>
      </c>
    </row>
    <row r="1545" customFormat="false" ht="14.25" hidden="false" customHeight="false" outlineLevel="0" collapsed="false">
      <c r="A1545" s="24" t="n">
        <v>394600</v>
      </c>
      <c r="B1545" s="32" t="s">
        <v>1712</v>
      </c>
    </row>
    <row r="1546" customFormat="false" ht="14.25" hidden="false" customHeight="false" outlineLevel="0" collapsed="false">
      <c r="A1546" s="24" t="n">
        <v>394700</v>
      </c>
      <c r="B1546" s="32" t="s">
        <v>1713</v>
      </c>
    </row>
    <row r="1547" customFormat="false" ht="14.25" hidden="false" customHeight="false" outlineLevel="0" collapsed="false">
      <c r="A1547" s="24" t="n">
        <v>394900</v>
      </c>
      <c r="B1547" s="32" t="s">
        <v>1714</v>
      </c>
    </row>
    <row r="1548" customFormat="false" ht="14.25" hidden="false" customHeight="false" outlineLevel="0" collapsed="false">
      <c r="A1548" s="24" t="n">
        <v>395200</v>
      </c>
      <c r="B1548" s="32" t="s">
        <v>1715</v>
      </c>
    </row>
    <row r="1549" customFormat="false" ht="14.25" hidden="false" customHeight="false" outlineLevel="0" collapsed="false">
      <c r="A1549" s="24" t="n">
        <v>395400</v>
      </c>
      <c r="B1549" s="32" t="s">
        <v>1716</v>
      </c>
    </row>
    <row r="1550" customFormat="false" ht="14.25" hidden="false" customHeight="false" outlineLevel="0" collapsed="false">
      <c r="A1550" s="24" t="n">
        <v>398010</v>
      </c>
      <c r="B1550" s="32" t="s">
        <v>1717</v>
      </c>
    </row>
    <row r="1551" customFormat="false" ht="14.25" hidden="false" customHeight="false" outlineLevel="0" collapsed="false">
      <c r="A1551" s="24" t="n">
        <v>398020</v>
      </c>
      <c r="B1551" s="32" t="s">
        <v>1718</v>
      </c>
    </row>
    <row r="1552" customFormat="false" ht="14.25" hidden="false" customHeight="false" outlineLevel="0" collapsed="false">
      <c r="A1552" s="24" t="n">
        <v>399200</v>
      </c>
      <c r="B1552" s="32" t="s">
        <v>1719</v>
      </c>
    </row>
    <row r="1553" customFormat="false" ht="16.4" hidden="false" customHeight="false" outlineLevel="0" collapsed="false">
      <c r="A1553" s="24" t="n">
        <v>399250</v>
      </c>
      <c r="B1553" s="32" t="s">
        <v>1720</v>
      </c>
    </row>
    <row r="1554" customFormat="false" ht="14.25" hidden="false" customHeight="false" outlineLevel="0" collapsed="false">
      <c r="A1554" s="24" t="n">
        <v>399300</v>
      </c>
      <c r="B1554" s="32" t="s">
        <v>1721</v>
      </c>
    </row>
    <row r="1555" customFormat="false" ht="14.25" hidden="false" customHeight="false" outlineLevel="0" collapsed="false">
      <c r="A1555" s="24" t="n">
        <v>399350</v>
      </c>
      <c r="B1555" s="32" t="s">
        <v>1722</v>
      </c>
    </row>
    <row r="1556" customFormat="false" ht="14.25" hidden="false" customHeight="false" outlineLevel="0" collapsed="false">
      <c r="A1556" s="24" t="n">
        <v>399400</v>
      </c>
      <c r="B1556" s="32" t="s">
        <v>1723</v>
      </c>
    </row>
    <row r="1557" customFormat="false" ht="14.25" hidden="false" customHeight="false" outlineLevel="0" collapsed="false">
      <c r="A1557" s="24" t="n">
        <v>399450</v>
      </c>
      <c r="B1557" s="32" t="s">
        <v>1724</v>
      </c>
    </row>
    <row r="1558" customFormat="false" ht="14.25" hidden="false" customHeight="false" outlineLevel="0" collapsed="false">
      <c r="A1558" s="24" t="n">
        <v>399500</v>
      </c>
      <c r="B1558" s="32" t="s">
        <v>1725</v>
      </c>
    </row>
    <row r="1559" customFormat="false" ht="14.25" hidden="false" customHeight="false" outlineLevel="0" collapsed="false">
      <c r="A1559" s="24" t="n">
        <v>399510</v>
      </c>
      <c r="B1559" s="32" t="s">
        <v>1726</v>
      </c>
    </row>
    <row r="1560" customFormat="false" ht="14.25" hidden="false" customHeight="false" outlineLevel="0" collapsed="false">
      <c r="A1560" s="24" t="n">
        <v>399520</v>
      </c>
      <c r="B1560" s="32" t="s">
        <v>1727</v>
      </c>
    </row>
    <row r="1561" customFormat="false" ht="14.25" hidden="false" customHeight="false" outlineLevel="0" collapsed="false">
      <c r="A1561" s="24" t="n">
        <v>399540</v>
      </c>
      <c r="B1561" s="32" t="s">
        <v>1728</v>
      </c>
    </row>
    <row r="1562" customFormat="false" ht="14.25" hidden="false" customHeight="false" outlineLevel="0" collapsed="false">
      <c r="A1562" s="24" t="n">
        <v>399550</v>
      </c>
      <c r="B1562" s="32" t="s">
        <v>1729</v>
      </c>
    </row>
    <row r="1563" customFormat="false" ht="14.25" hidden="false" customHeight="false" outlineLevel="0" collapsed="false">
      <c r="A1563" s="24" t="n">
        <v>399560</v>
      </c>
      <c r="B1563" s="32" t="s">
        <v>1730</v>
      </c>
    </row>
    <row r="1564" customFormat="false" ht="14.25" hidden="false" customHeight="false" outlineLevel="0" collapsed="false">
      <c r="A1564" s="24" t="n">
        <v>399900</v>
      </c>
      <c r="B1564" s="32" t="s">
        <v>1731</v>
      </c>
    </row>
    <row r="1565" customFormat="false" ht="14.25" hidden="false" customHeight="false" outlineLevel="0" collapsed="false">
      <c r="A1565" s="24" t="n">
        <v>400200</v>
      </c>
      <c r="B1565" s="32" t="s">
        <v>1732</v>
      </c>
    </row>
    <row r="1566" customFormat="false" ht="14.25" hidden="false" customHeight="false" outlineLevel="0" collapsed="false">
      <c r="A1566" s="24" t="n">
        <v>400400</v>
      </c>
      <c r="B1566" s="32" t="s">
        <v>1733</v>
      </c>
    </row>
    <row r="1567" customFormat="false" ht="14.25" hidden="false" customHeight="false" outlineLevel="0" collapsed="false">
      <c r="A1567" s="24" t="n">
        <v>410200</v>
      </c>
      <c r="B1567" s="32" t="s">
        <v>1734</v>
      </c>
    </row>
    <row r="1568" customFormat="false" ht="14.25" hidden="false" customHeight="false" outlineLevel="0" collapsed="false">
      <c r="A1568" s="24" t="n">
        <v>410400</v>
      </c>
      <c r="B1568" s="32" t="s">
        <v>1735</v>
      </c>
    </row>
    <row r="1569" customFormat="false" ht="16.4" hidden="false" customHeight="false" outlineLevel="0" collapsed="false">
      <c r="A1569" s="24" t="n">
        <v>421100</v>
      </c>
      <c r="B1569" s="32" t="s">
        <v>1736</v>
      </c>
    </row>
    <row r="1570" customFormat="false" ht="14.25" hidden="false" customHeight="false" outlineLevel="0" collapsed="false">
      <c r="A1570" s="24" t="n">
        <v>421200</v>
      </c>
      <c r="B1570" s="32" t="s">
        <v>1737</v>
      </c>
    </row>
    <row r="1571" customFormat="false" ht="14.25" hidden="false" customHeight="false" outlineLevel="0" collapsed="false">
      <c r="A1571" s="24" t="n">
        <v>421300</v>
      </c>
      <c r="B1571" s="32" t="s">
        <v>1738</v>
      </c>
    </row>
    <row r="1572" customFormat="false" ht="14.25" hidden="false" customHeight="false" outlineLevel="0" collapsed="false">
      <c r="A1572" s="24" t="n">
        <v>421400</v>
      </c>
      <c r="B1572" s="32" t="s">
        <v>1739</v>
      </c>
    </row>
    <row r="1573" customFormat="false" ht="14.25" hidden="false" customHeight="false" outlineLevel="0" collapsed="false">
      <c r="A1573" s="24" t="n">
        <v>421500</v>
      </c>
      <c r="B1573" s="32" t="s">
        <v>1740</v>
      </c>
    </row>
    <row r="1574" customFormat="false" ht="14.25" hidden="false" customHeight="false" outlineLevel="0" collapsed="false">
      <c r="A1574" s="24" t="n">
        <v>421510</v>
      </c>
      <c r="B1574" s="32" t="s">
        <v>1741</v>
      </c>
    </row>
    <row r="1575" customFormat="false" ht="14.25" hidden="false" customHeight="false" outlineLevel="0" collapsed="false">
      <c r="A1575" s="24" t="n">
        <v>421600</v>
      </c>
      <c r="B1575" s="32" t="s">
        <v>1742</v>
      </c>
    </row>
    <row r="1576" customFormat="false" ht="14.25" hidden="false" customHeight="false" outlineLevel="0" collapsed="false">
      <c r="A1576" s="24" t="n">
        <v>421700</v>
      </c>
      <c r="B1576" s="32" t="s">
        <v>1743</v>
      </c>
    </row>
    <row r="1577" customFormat="false" ht="14.25" hidden="false" customHeight="false" outlineLevel="0" collapsed="false">
      <c r="A1577" s="24" t="n">
        <v>421710</v>
      </c>
      <c r="B1577" s="32" t="s">
        <v>1744</v>
      </c>
    </row>
    <row r="1578" customFormat="false" ht="14.25" hidden="false" customHeight="false" outlineLevel="0" collapsed="false">
      <c r="A1578" s="24" t="n">
        <v>421711</v>
      </c>
      <c r="B1578" s="32" t="s">
        <v>381</v>
      </c>
    </row>
    <row r="1579" customFormat="false" ht="14.25" hidden="false" customHeight="false" outlineLevel="0" collapsed="false">
      <c r="A1579" s="24" t="n">
        <v>421720</v>
      </c>
      <c r="B1579" s="32" t="s">
        <v>1745</v>
      </c>
    </row>
    <row r="1580" customFormat="false" ht="14.25" hidden="false" customHeight="false" outlineLevel="0" collapsed="false">
      <c r="A1580" s="24" t="n">
        <v>421730</v>
      </c>
      <c r="B1580" s="32" t="s">
        <v>1746</v>
      </c>
    </row>
    <row r="1581" customFormat="false" ht="14.25" hidden="false" customHeight="false" outlineLevel="0" collapsed="false">
      <c r="A1581" s="24" t="n">
        <v>421740</v>
      </c>
      <c r="B1581" s="32" t="s">
        <v>1747</v>
      </c>
    </row>
    <row r="1582" customFormat="false" ht="14.25" hidden="false" customHeight="false" outlineLevel="0" collapsed="false">
      <c r="A1582" s="24" t="n">
        <v>421750</v>
      </c>
      <c r="B1582" s="32" t="s">
        <v>1748</v>
      </c>
    </row>
    <row r="1583" customFormat="false" ht="14.25" hidden="false" customHeight="false" outlineLevel="0" collapsed="false">
      <c r="A1583" s="24" t="n">
        <v>421760</v>
      </c>
      <c r="B1583" s="32" t="s">
        <v>1749</v>
      </c>
    </row>
    <row r="1584" customFormat="false" ht="14.25" hidden="false" customHeight="false" outlineLevel="0" collapsed="false">
      <c r="A1584" s="24" t="n">
        <v>421770</v>
      </c>
      <c r="B1584" s="32" t="s">
        <v>1750</v>
      </c>
    </row>
    <row r="1585" customFormat="false" ht="14.25" hidden="false" customHeight="false" outlineLevel="0" collapsed="false">
      <c r="A1585" s="24" t="n">
        <v>421780</v>
      </c>
      <c r="B1585" s="32" t="s">
        <v>1751</v>
      </c>
    </row>
    <row r="1586" customFormat="false" ht="14.25" hidden="false" customHeight="false" outlineLevel="0" collapsed="false">
      <c r="A1586" s="24" t="n">
        <v>421790</v>
      </c>
      <c r="B1586" s="32" t="s">
        <v>1752</v>
      </c>
    </row>
    <row r="1587" customFormat="false" ht="14.25" hidden="false" customHeight="false" outlineLevel="0" collapsed="false">
      <c r="A1587" s="24" t="n">
        <v>421800</v>
      </c>
      <c r="B1587" s="32" t="s">
        <v>1753</v>
      </c>
    </row>
    <row r="1588" customFormat="false" ht="14.25" hidden="false" customHeight="false" outlineLevel="0" collapsed="false">
      <c r="A1588" s="24" t="n">
        <v>421810</v>
      </c>
      <c r="B1588" s="32" t="s">
        <v>1754</v>
      </c>
    </row>
    <row r="1589" customFormat="false" ht="14.25" hidden="false" customHeight="false" outlineLevel="0" collapsed="false">
      <c r="A1589" s="24" t="n">
        <v>421820</v>
      </c>
      <c r="B1589" s="32" t="s">
        <v>1755</v>
      </c>
    </row>
    <row r="1590" customFormat="false" ht="14.25" hidden="false" customHeight="false" outlineLevel="0" collapsed="false">
      <c r="A1590" s="24" t="n">
        <v>421830</v>
      </c>
      <c r="B1590" s="32" t="s">
        <v>1756</v>
      </c>
    </row>
    <row r="1591" customFormat="false" ht="14.25" hidden="false" customHeight="false" outlineLevel="0" collapsed="false">
      <c r="A1591" s="24" t="n">
        <v>421840</v>
      </c>
      <c r="B1591" s="32" t="s">
        <v>1757</v>
      </c>
    </row>
    <row r="1592" customFormat="false" ht="14.25" hidden="false" customHeight="false" outlineLevel="0" collapsed="false">
      <c r="A1592" s="24" t="n">
        <v>421910</v>
      </c>
      <c r="B1592" s="32" t="s">
        <v>1758</v>
      </c>
    </row>
    <row r="1593" customFormat="false" ht="14.25" hidden="false" customHeight="false" outlineLevel="0" collapsed="false">
      <c r="A1593" s="24" t="n">
        <v>421920</v>
      </c>
      <c r="B1593" s="32" t="s">
        <v>1759</v>
      </c>
    </row>
    <row r="1594" customFormat="false" ht="14.25" hidden="false" customHeight="false" outlineLevel="0" collapsed="false">
      <c r="A1594" s="24" t="n">
        <v>421930</v>
      </c>
      <c r="B1594" s="32" t="s">
        <v>1760</v>
      </c>
    </row>
    <row r="1595" customFormat="false" ht="14.25" hidden="false" customHeight="false" outlineLevel="0" collapsed="false">
      <c r="A1595" s="24" t="n">
        <v>421940</v>
      </c>
      <c r="B1595" s="32" t="s">
        <v>1761</v>
      </c>
    </row>
    <row r="1596" customFormat="false" ht="14.25" hidden="false" customHeight="false" outlineLevel="0" collapsed="false">
      <c r="A1596" s="24" t="n">
        <v>421950</v>
      </c>
      <c r="B1596" s="32" t="s">
        <v>1762</v>
      </c>
    </row>
    <row r="1597" customFormat="false" ht="14.25" hidden="false" customHeight="false" outlineLevel="0" collapsed="false">
      <c r="A1597" s="24" t="n">
        <v>421960</v>
      </c>
      <c r="B1597" s="32" t="s">
        <v>1763</v>
      </c>
    </row>
    <row r="1598" customFormat="false" ht="14.25" hidden="false" customHeight="false" outlineLevel="0" collapsed="false">
      <c r="A1598" s="24" t="n">
        <v>421970</v>
      </c>
      <c r="B1598" s="32" t="s">
        <v>1764</v>
      </c>
    </row>
    <row r="1599" customFormat="false" ht="14.25" hidden="false" customHeight="false" outlineLevel="0" collapsed="false">
      <c r="A1599" s="24" t="n">
        <v>421980</v>
      </c>
      <c r="B1599" s="32" t="s">
        <v>1765</v>
      </c>
    </row>
    <row r="1600" customFormat="false" ht="14.25" hidden="false" customHeight="false" outlineLevel="0" collapsed="false">
      <c r="A1600" s="24" t="n">
        <v>422000</v>
      </c>
      <c r="B1600" s="32" t="s">
        <v>1766</v>
      </c>
    </row>
    <row r="1601" customFormat="false" ht="14.25" hidden="false" customHeight="false" outlineLevel="0" collapsed="false">
      <c r="A1601" s="24" t="n">
        <v>422100</v>
      </c>
      <c r="B1601" s="32" t="s">
        <v>1767</v>
      </c>
    </row>
    <row r="1602" customFormat="false" ht="14.25" hidden="false" customHeight="false" outlineLevel="0" collapsed="false">
      <c r="A1602" s="24" t="n">
        <v>422110</v>
      </c>
      <c r="B1602" s="32" t="s">
        <v>1768</v>
      </c>
    </row>
    <row r="1603" customFormat="false" ht="14.25" hidden="false" customHeight="false" outlineLevel="0" collapsed="false">
      <c r="A1603" s="24" t="n">
        <v>422120</v>
      </c>
      <c r="B1603" s="32" t="s">
        <v>1769</v>
      </c>
    </row>
    <row r="1604" customFormat="false" ht="14.25" hidden="false" customHeight="false" outlineLevel="0" collapsed="false">
      <c r="A1604" s="24" t="n">
        <v>422130</v>
      </c>
      <c r="B1604" s="32" t="s">
        <v>1770</v>
      </c>
    </row>
    <row r="1605" customFormat="false" ht="14.25" hidden="false" customHeight="false" outlineLevel="0" collapsed="false">
      <c r="A1605" s="24" t="n">
        <v>422200</v>
      </c>
      <c r="B1605" s="32" t="s">
        <v>1771</v>
      </c>
    </row>
    <row r="1606" customFormat="false" ht="14.25" hidden="false" customHeight="false" outlineLevel="0" collapsed="false">
      <c r="A1606" s="24" t="n">
        <v>423000</v>
      </c>
      <c r="B1606" s="32" t="s">
        <v>1772</v>
      </c>
    </row>
    <row r="1607" customFormat="false" ht="14.25" hidden="false" customHeight="false" outlineLevel="0" collapsed="false">
      <c r="A1607" s="24" t="n">
        <v>423400</v>
      </c>
      <c r="B1607" s="32" t="s">
        <v>1773</v>
      </c>
    </row>
    <row r="1608" customFormat="false" ht="14.25" hidden="false" customHeight="false" outlineLevel="0" collapsed="false">
      <c r="A1608" s="24" t="n">
        <v>423500</v>
      </c>
      <c r="B1608" s="32" t="s">
        <v>1774</v>
      </c>
    </row>
    <row r="1609" customFormat="false" ht="14.25" hidden="false" customHeight="false" outlineLevel="0" collapsed="false">
      <c r="A1609" s="24" t="n">
        <v>423600</v>
      </c>
      <c r="B1609" s="32" t="s">
        <v>1775</v>
      </c>
    </row>
    <row r="1610" customFormat="false" ht="14.25" hidden="false" customHeight="false" outlineLevel="0" collapsed="false">
      <c r="A1610" s="24" t="n">
        <v>423700</v>
      </c>
      <c r="B1610" s="32" t="s">
        <v>1776</v>
      </c>
    </row>
    <row r="1611" customFormat="false" ht="14.25" hidden="false" customHeight="false" outlineLevel="0" collapsed="false">
      <c r="A1611" s="24" t="n">
        <v>431200</v>
      </c>
      <c r="B1611" s="32" t="s">
        <v>1777</v>
      </c>
    </row>
    <row r="1612" customFormat="false" ht="14.25" hidden="false" customHeight="false" outlineLevel="0" collapsed="false">
      <c r="A1612" s="24" t="n">
        <v>431400</v>
      </c>
      <c r="B1612" s="32" t="s">
        <v>1778</v>
      </c>
    </row>
    <row r="1613" customFormat="false" ht="14.25" hidden="false" customHeight="false" outlineLevel="0" collapsed="false">
      <c r="A1613" s="24" t="n">
        <v>432000</v>
      </c>
      <c r="B1613" s="32" t="s">
        <v>1779</v>
      </c>
    </row>
    <row r="1614" customFormat="false" ht="14.25" hidden="false" customHeight="false" outlineLevel="0" collapsed="false">
      <c r="A1614" s="24" t="n">
        <v>432100</v>
      </c>
      <c r="B1614" s="32" t="s">
        <v>1780</v>
      </c>
    </row>
    <row r="1615" customFormat="false" ht="16.4" hidden="false" customHeight="false" outlineLevel="0" collapsed="false">
      <c r="A1615" s="24" t="n">
        <v>432200</v>
      </c>
      <c r="B1615" s="33" t="s">
        <v>1781</v>
      </c>
    </row>
    <row r="1616" customFormat="false" ht="14.25" hidden="false" customHeight="false" outlineLevel="0" collapsed="false">
      <c r="A1616" s="24" t="n">
        <v>432300</v>
      </c>
      <c r="B1616" s="32" t="s">
        <v>1782</v>
      </c>
    </row>
    <row r="1617" customFormat="false" ht="14.25" hidden="false" customHeight="false" outlineLevel="0" collapsed="false">
      <c r="A1617" s="24" t="n">
        <v>432400</v>
      </c>
      <c r="B1617" s="32" t="s">
        <v>1783</v>
      </c>
    </row>
    <row r="1618" customFormat="false" ht="14.25" hidden="false" customHeight="false" outlineLevel="0" collapsed="false">
      <c r="A1618" s="24" t="n">
        <v>432500</v>
      </c>
      <c r="B1618" s="32" t="s">
        <v>1784</v>
      </c>
    </row>
    <row r="1619" customFormat="false" ht="14.25" hidden="false" customHeight="false" outlineLevel="0" collapsed="false">
      <c r="A1619" s="24" t="n">
        <v>432600</v>
      </c>
      <c r="B1619" s="32" t="s">
        <v>1785</v>
      </c>
    </row>
    <row r="1620" customFormat="false" ht="14.25" hidden="false" customHeight="false" outlineLevel="0" collapsed="false">
      <c r="A1620" s="24" t="n">
        <v>432700</v>
      </c>
      <c r="B1620" s="32" t="s">
        <v>442</v>
      </c>
    </row>
    <row r="1621" customFormat="false" ht="14.25" hidden="false" customHeight="false" outlineLevel="0" collapsed="false">
      <c r="A1621" s="24" t="n">
        <v>432800</v>
      </c>
      <c r="B1621" s="32" t="s">
        <v>321</v>
      </c>
    </row>
    <row r="1622" customFormat="false" ht="14.25" hidden="false" customHeight="false" outlineLevel="0" collapsed="false">
      <c r="A1622" s="24" t="n">
        <v>432900</v>
      </c>
      <c r="B1622" s="32" t="s">
        <v>1786</v>
      </c>
    </row>
    <row r="1623" customFormat="false" ht="16.4" hidden="false" customHeight="false" outlineLevel="0" collapsed="false">
      <c r="A1623" s="24" t="n">
        <v>441200</v>
      </c>
      <c r="B1623" s="32" t="s">
        <v>1787</v>
      </c>
    </row>
    <row r="1624" customFormat="false" ht="16.4" hidden="false" customHeight="false" outlineLevel="0" collapsed="false">
      <c r="A1624" s="24" t="n">
        <v>441300</v>
      </c>
      <c r="B1624" s="32" t="s">
        <v>1788</v>
      </c>
    </row>
    <row r="1625" customFormat="false" ht="16.4" hidden="false" customHeight="false" outlineLevel="0" collapsed="false">
      <c r="A1625" s="24" t="n">
        <v>441400</v>
      </c>
      <c r="B1625" s="32" t="s">
        <v>1789</v>
      </c>
    </row>
    <row r="1626" customFormat="false" ht="14.25" hidden="false" customHeight="false" outlineLevel="0" collapsed="false">
      <c r="A1626" s="24" t="n">
        <v>441900</v>
      </c>
      <c r="B1626" s="32" t="s">
        <v>1790</v>
      </c>
    </row>
    <row r="1627" customFormat="false" ht="16.4" hidden="false" customHeight="false" outlineLevel="0" collapsed="false">
      <c r="A1627" s="24" t="n">
        <v>442200</v>
      </c>
      <c r="B1627" s="32" t="s">
        <v>1791</v>
      </c>
    </row>
    <row r="1628" customFormat="false" ht="14.25" hidden="false" customHeight="false" outlineLevel="0" collapsed="false">
      <c r="A1628" s="24" t="n">
        <v>442400</v>
      </c>
      <c r="B1628" s="32" t="s">
        <v>1792</v>
      </c>
    </row>
    <row r="1629" customFormat="false" ht="14.25" hidden="false" customHeight="false" outlineLevel="0" collapsed="false">
      <c r="A1629" s="24" t="n">
        <v>443000</v>
      </c>
      <c r="B1629" s="32" t="s">
        <v>1793</v>
      </c>
    </row>
    <row r="1630" customFormat="false" ht="16.4" hidden="false" customHeight="false" outlineLevel="0" collapsed="false">
      <c r="A1630" s="24" t="n">
        <v>443100</v>
      </c>
      <c r="B1630" s="32" t="s">
        <v>1794</v>
      </c>
    </row>
    <row r="1631" customFormat="false" ht="14.25" hidden="false" customHeight="false" outlineLevel="0" collapsed="false">
      <c r="A1631" s="24" t="n">
        <v>443200</v>
      </c>
      <c r="B1631" s="32" t="s">
        <v>1795</v>
      </c>
    </row>
    <row r="1632" customFormat="false" ht="16.4" hidden="false" customHeight="false" outlineLevel="0" collapsed="false">
      <c r="A1632" s="24" t="n">
        <v>450000</v>
      </c>
      <c r="B1632" s="33" t="s">
        <v>1796</v>
      </c>
    </row>
    <row r="1633" customFormat="false" ht="14.25" hidden="false" customHeight="false" outlineLevel="0" collapsed="false">
      <c r="A1633" s="24" t="n">
        <v>451200</v>
      </c>
      <c r="B1633" s="32" t="s">
        <v>1797</v>
      </c>
    </row>
    <row r="1634" customFormat="false" ht="14.25" hidden="false" customHeight="false" outlineLevel="0" collapsed="false">
      <c r="A1634" s="24" t="n">
        <v>451300</v>
      </c>
      <c r="B1634" s="32" t="s">
        <v>1798</v>
      </c>
    </row>
    <row r="1635" customFormat="false" ht="16.4" hidden="false" customHeight="false" outlineLevel="0" collapsed="false">
      <c r="A1635" s="24" t="n">
        <v>451400</v>
      </c>
      <c r="B1635" s="32" t="s">
        <v>1799</v>
      </c>
    </row>
    <row r="1636" customFormat="false" ht="14.25" hidden="false" customHeight="false" outlineLevel="0" collapsed="false">
      <c r="A1636" s="24" t="n">
        <v>451500</v>
      </c>
      <c r="B1636" s="32" t="s">
        <v>1800</v>
      </c>
    </row>
    <row r="1637" customFormat="false" ht="16.4" hidden="false" customHeight="false" outlineLevel="0" collapsed="false">
      <c r="A1637" s="24" t="n">
        <v>451600</v>
      </c>
      <c r="B1637" s="33" t="s">
        <v>1801</v>
      </c>
    </row>
    <row r="1638" customFormat="false" ht="14.25" hidden="false" customHeight="false" outlineLevel="0" collapsed="false">
      <c r="A1638" s="24" t="n">
        <v>451700</v>
      </c>
      <c r="B1638" s="32" t="s">
        <v>1802</v>
      </c>
    </row>
    <row r="1639" customFormat="false" ht="16.4" hidden="false" customHeight="false" outlineLevel="0" collapsed="false">
      <c r="A1639" s="24" t="n">
        <v>451900</v>
      </c>
      <c r="B1639" s="32" t="s">
        <v>1803</v>
      </c>
    </row>
    <row r="1640" customFormat="false" ht="14.25" hidden="false" customHeight="false" outlineLevel="0" collapsed="false">
      <c r="A1640" s="24" t="n">
        <v>452200</v>
      </c>
      <c r="B1640" s="32" t="s">
        <v>1804</v>
      </c>
    </row>
    <row r="1641" customFormat="false" ht="16.4" hidden="false" customHeight="false" outlineLevel="0" collapsed="false">
      <c r="A1641" s="24" t="n">
        <v>452300</v>
      </c>
      <c r="B1641" s="32" t="s">
        <v>1805</v>
      </c>
    </row>
    <row r="1642" customFormat="false" ht="16.4" hidden="false" customHeight="false" outlineLevel="0" collapsed="false">
      <c r="A1642" s="24" t="n">
        <v>452400</v>
      </c>
      <c r="B1642" s="32" t="s">
        <v>1806</v>
      </c>
    </row>
    <row r="1643" customFormat="false" ht="14.25" hidden="false" customHeight="false" outlineLevel="0" collapsed="false">
      <c r="A1643" s="24" t="n">
        <v>452500</v>
      </c>
      <c r="B1643" s="32" t="s">
        <v>1807</v>
      </c>
    </row>
    <row r="1644" customFormat="false" ht="14.25" hidden="false" customHeight="false" outlineLevel="0" collapsed="false">
      <c r="A1644" s="24" t="n">
        <v>452600</v>
      </c>
      <c r="B1644" s="32" t="s">
        <v>1808</v>
      </c>
    </row>
    <row r="1645" customFormat="false" ht="14.25" hidden="false" customHeight="false" outlineLevel="0" collapsed="false">
      <c r="A1645" s="24" t="n">
        <v>452700</v>
      </c>
      <c r="B1645" s="32" t="s">
        <v>1809</v>
      </c>
    </row>
    <row r="1646" customFormat="false" ht="14.25" hidden="false" customHeight="false" outlineLevel="0" collapsed="false">
      <c r="A1646" s="24" t="n">
        <v>452900</v>
      </c>
      <c r="B1646" s="32" t="s">
        <v>1810</v>
      </c>
    </row>
    <row r="1647" customFormat="false" ht="14.25" hidden="false" customHeight="false" outlineLevel="0" collapsed="false">
      <c r="A1647" s="24" t="n">
        <v>490100</v>
      </c>
      <c r="B1647" s="32" t="s">
        <v>1811</v>
      </c>
    </row>
    <row r="1648" customFormat="false" ht="16.4" hidden="false" customHeight="false" outlineLevel="0" collapsed="false">
      <c r="A1648" s="24" t="n">
        <v>490200</v>
      </c>
      <c r="B1648" s="33" t="s">
        <v>1812</v>
      </c>
    </row>
    <row r="1649" customFormat="false" ht="14.25" hidden="false" customHeight="false" outlineLevel="0" collapsed="false">
      <c r="A1649" s="24" t="n">
        <v>490300</v>
      </c>
      <c r="B1649" s="32" t="s">
        <v>1813</v>
      </c>
    </row>
    <row r="1650" customFormat="false" ht="14.25" hidden="false" customHeight="false" outlineLevel="0" collapsed="false">
      <c r="A1650" s="24" t="n">
        <v>490900</v>
      </c>
      <c r="B1650" s="32" t="s">
        <v>1814</v>
      </c>
    </row>
    <row r="1651" customFormat="false" ht="14.25" hidden="false" customHeight="false" outlineLevel="0" collapsed="false">
      <c r="A1651" s="24" t="n">
        <v>500000</v>
      </c>
      <c r="B1651" s="32" t="s">
        <v>1815</v>
      </c>
    </row>
    <row r="1652" customFormat="false" ht="14.25" hidden="false" customHeight="false" outlineLevel="0" collapsed="false">
      <c r="A1652" s="24" t="n">
        <v>500500</v>
      </c>
      <c r="B1652" s="32" t="s">
        <v>1816</v>
      </c>
    </row>
    <row r="1653" customFormat="false" ht="14.25" hidden="false" customHeight="false" outlineLevel="0" collapsed="false">
      <c r="A1653" s="24" t="n">
        <v>500600</v>
      </c>
      <c r="B1653" s="32" t="s">
        <v>1817</v>
      </c>
    </row>
    <row r="1654" customFormat="false" ht="14.25" hidden="false" customHeight="false" outlineLevel="0" collapsed="false">
      <c r="A1654" s="24" t="n">
        <v>500700</v>
      </c>
      <c r="B1654" s="32" t="s">
        <v>1818</v>
      </c>
    </row>
    <row r="1655" customFormat="false" ht="14.25" hidden="false" customHeight="false" outlineLevel="0" collapsed="false">
      <c r="A1655" s="24" t="n">
        <v>500800</v>
      </c>
      <c r="B1655" s="32" t="s">
        <v>1819</v>
      </c>
    </row>
    <row r="1656" customFormat="false" ht="14.25" hidden="false" customHeight="false" outlineLevel="0" collapsed="false">
      <c r="A1656" s="24" t="n">
        <v>500900</v>
      </c>
      <c r="B1656" s="32" t="s">
        <v>1820</v>
      </c>
    </row>
    <row r="1657" customFormat="false" ht="14.25" hidden="false" customHeight="false" outlineLevel="0" collapsed="false">
      <c r="A1657" s="24" t="n">
        <v>501200</v>
      </c>
      <c r="B1657" s="32" t="s">
        <v>1821</v>
      </c>
    </row>
    <row r="1658" customFormat="false" ht="14.25" hidden="false" customHeight="false" outlineLevel="0" collapsed="false">
      <c r="A1658" s="24" t="n">
        <v>501210</v>
      </c>
      <c r="B1658" s="32" t="s">
        <v>1822</v>
      </c>
    </row>
    <row r="1659" customFormat="false" ht="14.25" hidden="false" customHeight="false" outlineLevel="0" collapsed="false">
      <c r="A1659" s="24" t="n">
        <v>501300</v>
      </c>
      <c r="B1659" s="32" t="s">
        <v>1823</v>
      </c>
    </row>
    <row r="1660" customFormat="false" ht="14.25" hidden="false" customHeight="false" outlineLevel="0" collapsed="false">
      <c r="A1660" s="24" t="n">
        <v>501310</v>
      </c>
      <c r="B1660" s="32" t="s">
        <v>1824</v>
      </c>
    </row>
    <row r="1661" customFormat="false" ht="14.25" hidden="false" customHeight="false" outlineLevel="0" collapsed="false">
      <c r="A1661" s="24" t="n">
        <v>501320</v>
      </c>
      <c r="B1661" s="32" t="s">
        <v>1825</v>
      </c>
    </row>
    <row r="1662" customFormat="false" ht="14.25" hidden="false" customHeight="false" outlineLevel="0" collapsed="false">
      <c r="A1662" s="24" t="n">
        <v>501390</v>
      </c>
      <c r="B1662" s="32" t="s">
        <v>1826</v>
      </c>
    </row>
    <row r="1663" customFormat="false" ht="14.25" hidden="false" customHeight="false" outlineLevel="0" collapsed="false">
      <c r="A1663" s="24" t="n">
        <v>501400</v>
      </c>
      <c r="B1663" s="32" t="s">
        <v>1827</v>
      </c>
    </row>
    <row r="1664" customFormat="false" ht="14.25" hidden="false" customHeight="false" outlineLevel="0" collapsed="false">
      <c r="A1664" s="24" t="n">
        <v>501410</v>
      </c>
      <c r="B1664" s="32" t="s">
        <v>1828</v>
      </c>
    </row>
    <row r="1665" customFormat="false" ht="14.25" hidden="false" customHeight="false" outlineLevel="0" collapsed="false">
      <c r="A1665" s="24" t="n">
        <v>501500</v>
      </c>
      <c r="B1665" s="32" t="s">
        <v>1829</v>
      </c>
    </row>
    <row r="1666" customFormat="false" ht="14.25" hidden="false" customHeight="false" outlineLevel="0" collapsed="false">
      <c r="A1666" s="24" t="n">
        <v>501510</v>
      </c>
      <c r="B1666" s="32" t="s">
        <v>1830</v>
      </c>
    </row>
    <row r="1667" customFormat="false" ht="14.25" hidden="false" customHeight="false" outlineLevel="0" collapsed="false">
      <c r="A1667" s="24" t="n">
        <v>501511</v>
      </c>
      <c r="B1667" s="32" t="s">
        <v>1831</v>
      </c>
    </row>
    <row r="1668" customFormat="false" ht="14.25" hidden="false" customHeight="false" outlineLevel="0" collapsed="false">
      <c r="A1668" s="24" t="n">
        <v>501600</v>
      </c>
      <c r="B1668" s="32" t="s">
        <v>1832</v>
      </c>
    </row>
    <row r="1669" customFormat="false" ht="14.25" hidden="false" customHeight="false" outlineLevel="0" collapsed="false">
      <c r="A1669" s="24" t="n">
        <v>501601</v>
      </c>
      <c r="B1669" s="32" t="s">
        <v>1833</v>
      </c>
    </row>
    <row r="1670" customFormat="false" ht="14.25" hidden="false" customHeight="false" outlineLevel="0" collapsed="false">
      <c r="A1670" s="24" t="n">
        <v>501610</v>
      </c>
      <c r="B1670" s="32" t="s">
        <v>1834</v>
      </c>
    </row>
    <row r="1671" customFormat="false" ht="14.25" hidden="false" customHeight="false" outlineLevel="0" collapsed="false">
      <c r="A1671" s="24" t="n">
        <v>501620</v>
      </c>
      <c r="B1671" s="32" t="s">
        <v>1835</v>
      </c>
    </row>
    <row r="1672" customFormat="false" ht="14.25" hidden="false" customHeight="false" outlineLevel="0" collapsed="false">
      <c r="A1672" s="24" t="n">
        <v>501621</v>
      </c>
      <c r="B1672" s="32" t="s">
        <v>1836</v>
      </c>
    </row>
    <row r="1673" customFormat="false" ht="14.25" hidden="false" customHeight="false" outlineLevel="0" collapsed="false">
      <c r="A1673" s="24" t="n">
        <v>501630</v>
      </c>
      <c r="B1673" s="32" t="s">
        <v>1837</v>
      </c>
    </row>
    <row r="1674" customFormat="false" ht="14.25" hidden="false" customHeight="false" outlineLevel="0" collapsed="false">
      <c r="A1674" s="24" t="n">
        <v>501650</v>
      </c>
      <c r="B1674" s="32" t="s">
        <v>1838</v>
      </c>
    </row>
    <row r="1675" customFormat="false" ht="14.25" hidden="false" customHeight="false" outlineLevel="0" collapsed="false">
      <c r="A1675" s="24" t="n">
        <v>501700</v>
      </c>
      <c r="B1675" s="32" t="s">
        <v>1839</v>
      </c>
    </row>
    <row r="1676" customFormat="false" ht="14.25" hidden="false" customHeight="false" outlineLevel="0" collapsed="false">
      <c r="A1676" s="24" t="n">
        <v>501710</v>
      </c>
      <c r="B1676" s="32" t="s">
        <v>1840</v>
      </c>
    </row>
    <row r="1677" customFormat="false" ht="14.25" hidden="false" customHeight="false" outlineLevel="0" collapsed="false">
      <c r="A1677" s="24" t="n">
        <v>501720</v>
      </c>
      <c r="B1677" s="32" t="s">
        <v>1841</v>
      </c>
    </row>
    <row r="1678" customFormat="false" ht="14.25" hidden="false" customHeight="false" outlineLevel="0" collapsed="false">
      <c r="A1678" s="24" t="n">
        <v>501800</v>
      </c>
      <c r="B1678" s="32" t="s">
        <v>1842</v>
      </c>
    </row>
    <row r="1679" customFormat="false" ht="14.25" hidden="false" customHeight="false" outlineLevel="0" collapsed="false">
      <c r="A1679" s="24" t="n">
        <v>501810</v>
      </c>
      <c r="B1679" s="32" t="s">
        <v>1843</v>
      </c>
    </row>
    <row r="1680" customFormat="false" ht="14.25" hidden="false" customHeight="false" outlineLevel="0" collapsed="false">
      <c r="A1680" s="24" t="n">
        <v>501820</v>
      </c>
      <c r="B1680" s="32" t="s">
        <v>1844</v>
      </c>
    </row>
    <row r="1681" customFormat="false" ht="14.25" hidden="false" customHeight="false" outlineLevel="0" collapsed="false">
      <c r="A1681" s="24" t="n">
        <v>501900</v>
      </c>
      <c r="B1681" s="32" t="s">
        <v>1845</v>
      </c>
    </row>
    <row r="1682" customFormat="false" ht="14.25" hidden="false" customHeight="false" outlineLevel="0" collapsed="false">
      <c r="A1682" s="24" t="n">
        <v>501910</v>
      </c>
      <c r="B1682" s="32" t="s">
        <v>1846</v>
      </c>
    </row>
    <row r="1683" customFormat="false" ht="14.25" hidden="false" customHeight="false" outlineLevel="0" collapsed="false">
      <c r="A1683" s="24" t="n">
        <v>501920</v>
      </c>
      <c r="B1683" s="32" t="s">
        <v>1847</v>
      </c>
    </row>
    <row r="1684" customFormat="false" ht="14.25" hidden="false" customHeight="false" outlineLevel="0" collapsed="false">
      <c r="A1684" s="24" t="n">
        <v>501930</v>
      </c>
      <c r="B1684" s="32" t="s">
        <v>1848</v>
      </c>
    </row>
    <row r="1685" customFormat="false" ht="14.25" hidden="false" customHeight="false" outlineLevel="0" collapsed="false">
      <c r="A1685" s="24" t="n">
        <v>502000</v>
      </c>
      <c r="B1685" s="32" t="s">
        <v>1849</v>
      </c>
    </row>
    <row r="1686" customFormat="false" ht="14.25" hidden="false" customHeight="false" outlineLevel="0" collapsed="false">
      <c r="A1686" s="24" t="n">
        <v>502200</v>
      </c>
      <c r="B1686" s="32" t="s">
        <v>1850</v>
      </c>
    </row>
    <row r="1687" customFormat="false" ht="14.25" hidden="false" customHeight="false" outlineLevel="0" collapsed="false">
      <c r="A1687" s="24" t="n">
        <v>502300</v>
      </c>
      <c r="B1687" s="32" t="s">
        <v>1851</v>
      </c>
    </row>
    <row r="1688" customFormat="false" ht="14.25" hidden="false" customHeight="false" outlineLevel="0" collapsed="false">
      <c r="A1688" s="24" t="n">
        <v>502400</v>
      </c>
      <c r="B1688" s="32" t="s">
        <v>1852</v>
      </c>
    </row>
    <row r="1689" customFormat="false" ht="14.25" hidden="false" customHeight="false" outlineLevel="0" collapsed="false">
      <c r="A1689" s="24" t="n">
        <v>502900</v>
      </c>
      <c r="B1689" s="32" t="s">
        <v>1853</v>
      </c>
    </row>
    <row r="1690" customFormat="false" ht="16.4" hidden="false" customHeight="false" outlineLevel="0" collapsed="false">
      <c r="A1690" s="24" t="n">
        <v>503000</v>
      </c>
      <c r="B1690" s="33" t="s">
        <v>1854</v>
      </c>
    </row>
    <row r="1691" customFormat="false" ht="14.25" hidden="false" customHeight="false" outlineLevel="0" collapsed="false">
      <c r="A1691" s="24" t="n">
        <v>510150</v>
      </c>
      <c r="B1691" s="32" t="s">
        <v>1855</v>
      </c>
    </row>
    <row r="1692" customFormat="false" ht="14.25" hidden="false" customHeight="false" outlineLevel="0" collapsed="false">
      <c r="A1692" s="24" t="n">
        <v>510200</v>
      </c>
      <c r="B1692" s="32" t="s">
        <v>1856</v>
      </c>
    </row>
    <row r="1693" customFormat="false" ht="14.25" hidden="false" customHeight="false" outlineLevel="0" collapsed="false">
      <c r="A1693" s="24" t="n">
        <v>510210</v>
      </c>
      <c r="B1693" s="32" t="s">
        <v>1857</v>
      </c>
    </row>
    <row r="1694" customFormat="false" ht="16.4" hidden="false" customHeight="false" outlineLevel="0" collapsed="false">
      <c r="A1694" s="24" t="n">
        <v>510250</v>
      </c>
      <c r="B1694" s="32" t="s">
        <v>1858</v>
      </c>
    </row>
    <row r="1695" customFormat="false" ht="14.25" hidden="false" customHeight="false" outlineLevel="0" collapsed="false">
      <c r="A1695" s="24" t="n">
        <v>510260</v>
      </c>
      <c r="B1695" s="32" t="s">
        <v>1859</v>
      </c>
    </row>
    <row r="1696" customFormat="false" ht="14.25" hidden="false" customHeight="false" outlineLevel="0" collapsed="false">
      <c r="A1696" s="24" t="n">
        <v>510300</v>
      </c>
      <c r="B1696" s="32" t="s">
        <v>1860</v>
      </c>
    </row>
    <row r="1697" customFormat="false" ht="14.25" hidden="false" customHeight="false" outlineLevel="0" collapsed="false">
      <c r="A1697" s="24" t="n">
        <v>510350</v>
      </c>
      <c r="B1697" s="32" t="s">
        <v>1861</v>
      </c>
    </row>
    <row r="1698" customFormat="false" ht="14.25" hidden="false" customHeight="false" outlineLevel="0" collapsed="false">
      <c r="A1698" s="24" t="n">
        <v>510400</v>
      </c>
      <c r="B1698" s="32" t="s">
        <v>1862</v>
      </c>
    </row>
    <row r="1699" customFormat="false" ht="14.25" hidden="false" customHeight="false" outlineLevel="0" collapsed="false">
      <c r="A1699" s="24" t="n">
        <v>510420</v>
      </c>
      <c r="B1699" s="32" t="s">
        <v>1863</v>
      </c>
    </row>
    <row r="1700" customFormat="false" ht="14.25" hidden="false" customHeight="false" outlineLevel="0" collapsed="false">
      <c r="A1700" s="24" t="n">
        <v>510450</v>
      </c>
      <c r="B1700" s="32" t="s">
        <v>1864</v>
      </c>
    </row>
    <row r="1701" customFormat="false" ht="14.25" hidden="false" customHeight="false" outlineLevel="0" collapsed="false">
      <c r="A1701" s="24" t="n">
        <v>510500</v>
      </c>
      <c r="B1701" s="32" t="s">
        <v>1865</v>
      </c>
    </row>
    <row r="1702" customFormat="false" ht="14.25" hidden="false" customHeight="false" outlineLevel="0" collapsed="false">
      <c r="A1702" s="24" t="n">
        <v>510510</v>
      </c>
      <c r="B1702" s="32" t="s">
        <v>1866</v>
      </c>
    </row>
    <row r="1703" customFormat="false" ht="14.25" hidden="false" customHeight="false" outlineLevel="0" collapsed="false">
      <c r="A1703" s="24" t="n">
        <v>510511</v>
      </c>
      <c r="B1703" s="32" t="s">
        <v>1867</v>
      </c>
    </row>
    <row r="1704" customFormat="false" ht="14.25" hidden="false" customHeight="false" outlineLevel="0" collapsed="false">
      <c r="A1704" s="24" t="n">
        <v>510512</v>
      </c>
      <c r="B1704" s="32" t="s">
        <v>1868</v>
      </c>
    </row>
    <row r="1705" customFormat="false" ht="14.25" hidden="false" customHeight="false" outlineLevel="0" collapsed="false">
      <c r="A1705" s="24" t="n">
        <v>510600</v>
      </c>
      <c r="B1705" s="32" t="s">
        <v>1869</v>
      </c>
    </row>
    <row r="1706" customFormat="false" ht="16.4" hidden="false" customHeight="false" outlineLevel="0" collapsed="false">
      <c r="A1706" s="24" t="n">
        <v>510700</v>
      </c>
      <c r="B1706" s="32" t="s">
        <v>1870</v>
      </c>
    </row>
    <row r="1707" customFormat="false" ht="16.4" hidden="false" customHeight="false" outlineLevel="0" collapsed="false">
      <c r="A1707" s="24" t="n">
        <v>510800</v>
      </c>
      <c r="B1707" s="33" t="s">
        <v>1871</v>
      </c>
    </row>
    <row r="1708" customFormat="false" ht="14.25" hidden="false" customHeight="false" outlineLevel="0" collapsed="false">
      <c r="A1708" s="24" t="n">
        <v>510900</v>
      </c>
      <c r="B1708" s="32" t="s">
        <v>1872</v>
      </c>
    </row>
    <row r="1709" customFormat="false" ht="14.25" hidden="false" customHeight="false" outlineLevel="0" collapsed="false">
      <c r="A1709" s="24" t="n">
        <v>513210</v>
      </c>
      <c r="B1709" s="32" t="s">
        <v>1873</v>
      </c>
    </row>
    <row r="1710" customFormat="false" ht="16.4" hidden="false" customHeight="false" outlineLevel="0" collapsed="false">
      <c r="A1710" s="24" t="n">
        <v>520200</v>
      </c>
      <c r="B1710" s="32" t="s">
        <v>1874</v>
      </c>
    </row>
    <row r="1711" customFormat="false" ht="14.25" hidden="false" customHeight="false" outlineLevel="0" collapsed="false">
      <c r="A1711" s="24" t="n">
        <v>520300</v>
      </c>
      <c r="B1711" s="32" t="s">
        <v>1875</v>
      </c>
    </row>
    <row r="1712" customFormat="false" ht="14.25" hidden="false" customHeight="false" outlineLevel="0" collapsed="false">
      <c r="A1712" s="24" t="n">
        <v>520310</v>
      </c>
      <c r="B1712" s="32" t="s">
        <v>1876</v>
      </c>
    </row>
    <row r="1713" customFormat="false" ht="14.25" hidden="false" customHeight="false" outlineLevel="0" collapsed="false">
      <c r="A1713" s="24" t="n">
        <v>520320</v>
      </c>
      <c r="B1713" s="32" t="s">
        <v>1877</v>
      </c>
    </row>
    <row r="1714" customFormat="false" ht="14.25" hidden="false" customHeight="false" outlineLevel="0" collapsed="false">
      <c r="A1714" s="24" t="n">
        <v>520330</v>
      </c>
      <c r="B1714" s="32" t="s">
        <v>1878</v>
      </c>
    </row>
    <row r="1715" customFormat="false" ht="14.25" hidden="false" customHeight="false" outlineLevel="0" collapsed="false">
      <c r="A1715" s="24" t="n">
        <v>520340</v>
      </c>
      <c r="B1715" s="32" t="s">
        <v>1879</v>
      </c>
    </row>
    <row r="1716" customFormat="false" ht="14.25" hidden="false" customHeight="false" outlineLevel="0" collapsed="false">
      <c r="A1716" s="24" t="n">
        <v>520400</v>
      </c>
      <c r="B1716" s="32" t="s">
        <v>1880</v>
      </c>
    </row>
    <row r="1717" customFormat="false" ht="14.25" hidden="false" customHeight="false" outlineLevel="0" collapsed="false">
      <c r="A1717" s="24" t="n">
        <v>520410</v>
      </c>
      <c r="B1717" s="32" t="s">
        <v>1881</v>
      </c>
    </row>
    <row r="1718" customFormat="false" ht="14.25" hidden="false" customHeight="false" outlineLevel="0" collapsed="false">
      <c r="A1718" s="24" t="n">
        <v>520420</v>
      </c>
      <c r="B1718" s="32" t="s">
        <v>1882</v>
      </c>
    </row>
    <row r="1719" customFormat="false" ht="14.25" hidden="false" customHeight="false" outlineLevel="0" collapsed="false">
      <c r="A1719" s="24" t="n">
        <v>520500</v>
      </c>
      <c r="B1719" s="32" t="s">
        <v>1883</v>
      </c>
    </row>
    <row r="1720" customFormat="false" ht="14.25" hidden="false" customHeight="false" outlineLevel="0" collapsed="false">
      <c r="A1720" s="24" t="n">
        <v>520600</v>
      </c>
      <c r="B1720" s="32" t="s">
        <v>1884</v>
      </c>
    </row>
    <row r="1721" customFormat="false" ht="14.25" hidden="false" customHeight="false" outlineLevel="0" collapsed="false">
      <c r="A1721" s="24" t="n">
        <v>520700</v>
      </c>
      <c r="B1721" s="32" t="s">
        <v>1885</v>
      </c>
    </row>
    <row r="1722" customFormat="false" ht="14.25" hidden="false" customHeight="false" outlineLevel="0" collapsed="false">
      <c r="A1722" s="24" t="n">
        <v>520800</v>
      </c>
      <c r="B1722" s="32" t="s">
        <v>1886</v>
      </c>
    </row>
    <row r="1723" customFormat="false" ht="14.25" hidden="false" customHeight="false" outlineLevel="0" collapsed="false">
      <c r="A1723" s="24" t="n">
        <v>520900</v>
      </c>
      <c r="B1723" s="32" t="s">
        <v>1887</v>
      </c>
    </row>
    <row r="1724" customFormat="false" ht="14.25" hidden="false" customHeight="false" outlineLevel="0" collapsed="false">
      <c r="A1724" s="24" t="n">
        <v>530000</v>
      </c>
      <c r="B1724" s="32" t="s">
        <v>1888</v>
      </c>
    </row>
    <row r="1725" customFormat="false" ht="16.4" hidden="false" customHeight="false" outlineLevel="0" collapsed="false">
      <c r="A1725" s="24" t="n">
        <v>531000</v>
      </c>
      <c r="B1725" s="33" t="s">
        <v>1889</v>
      </c>
    </row>
    <row r="1726" customFormat="false" ht="14.25" hidden="false" customHeight="false" outlineLevel="0" collapsed="false">
      <c r="A1726" s="24" t="n">
        <v>531100</v>
      </c>
      <c r="B1726" s="32" t="s">
        <v>1890</v>
      </c>
    </row>
    <row r="1727" customFormat="false" ht="16.4" hidden="false" customHeight="false" outlineLevel="0" collapsed="false">
      <c r="A1727" s="24" t="n">
        <v>531200</v>
      </c>
      <c r="B1727" s="32" t="s">
        <v>1891</v>
      </c>
    </row>
    <row r="1728" customFormat="false" ht="14.25" hidden="false" customHeight="false" outlineLevel="0" collapsed="false">
      <c r="A1728" s="24" t="n">
        <v>531210</v>
      </c>
      <c r="B1728" s="32" t="s">
        <v>1892</v>
      </c>
    </row>
    <row r="1729" customFormat="false" ht="14.25" hidden="false" customHeight="false" outlineLevel="0" collapsed="false">
      <c r="A1729" s="24" t="n">
        <v>531220</v>
      </c>
      <c r="B1729" s="32" t="s">
        <v>1893</v>
      </c>
    </row>
    <row r="1730" customFormat="false" ht="14.25" hidden="false" customHeight="false" outlineLevel="0" collapsed="false">
      <c r="A1730" s="24" t="n">
        <v>531230</v>
      </c>
      <c r="B1730" s="32" t="s">
        <v>1894</v>
      </c>
    </row>
    <row r="1731" customFormat="false" ht="14.25" hidden="false" customHeight="false" outlineLevel="0" collapsed="false">
      <c r="A1731" s="24" t="n">
        <v>531240</v>
      </c>
      <c r="B1731" s="32" t="s">
        <v>1895</v>
      </c>
    </row>
    <row r="1732" customFormat="false" ht="16.4" hidden="false" customHeight="false" outlineLevel="0" collapsed="false">
      <c r="A1732" s="24" t="n">
        <v>531300</v>
      </c>
      <c r="B1732" s="33" t="s">
        <v>1896</v>
      </c>
    </row>
    <row r="1733" customFormat="false" ht="16.4" hidden="false" customHeight="false" outlineLevel="0" collapsed="false">
      <c r="A1733" s="24" t="n">
        <v>531400</v>
      </c>
      <c r="B1733" s="32" t="s">
        <v>1897</v>
      </c>
    </row>
    <row r="1734" customFormat="false" ht="16.4" hidden="false" customHeight="false" outlineLevel="0" collapsed="false">
      <c r="A1734" s="24" t="n">
        <v>531500</v>
      </c>
      <c r="B1734" s="32" t="s">
        <v>1898</v>
      </c>
    </row>
    <row r="1735" customFormat="false" ht="16.4" hidden="false" customHeight="false" outlineLevel="0" collapsed="false">
      <c r="A1735" s="24" t="n">
        <v>531600</v>
      </c>
      <c r="B1735" s="33" t="s">
        <v>1899</v>
      </c>
    </row>
    <row r="1736" customFormat="false" ht="14.25" hidden="false" customHeight="false" outlineLevel="0" collapsed="false">
      <c r="A1736" s="24" t="n">
        <v>531610</v>
      </c>
      <c r="B1736" s="32" t="s">
        <v>1900</v>
      </c>
    </row>
    <row r="1737" customFormat="false" ht="14.25" hidden="false" customHeight="false" outlineLevel="0" collapsed="false">
      <c r="A1737" s="24" t="n">
        <v>531620</v>
      </c>
      <c r="B1737" s="32" t="s">
        <v>1901</v>
      </c>
    </row>
    <row r="1738" customFormat="false" ht="14.25" hidden="false" customHeight="false" outlineLevel="0" collapsed="false">
      <c r="A1738" s="24" t="n">
        <v>531700</v>
      </c>
      <c r="B1738" s="32" t="s">
        <v>1902</v>
      </c>
    </row>
    <row r="1739" customFormat="false" ht="14.25" hidden="false" customHeight="false" outlineLevel="0" collapsed="false">
      <c r="A1739" s="24" t="n">
        <v>531800</v>
      </c>
      <c r="B1739" s="32" t="s">
        <v>1903</v>
      </c>
    </row>
    <row r="1740" customFormat="false" ht="16.4" hidden="false" customHeight="false" outlineLevel="0" collapsed="false">
      <c r="A1740" s="24" t="n">
        <v>531900</v>
      </c>
      <c r="B1740" s="32" t="s">
        <v>1904</v>
      </c>
    </row>
    <row r="1741" customFormat="false" ht="14.25" hidden="false" customHeight="false" outlineLevel="0" collapsed="false">
      <c r="A1741" s="24" t="n">
        <v>532000</v>
      </c>
      <c r="B1741" s="32" t="s">
        <v>1905</v>
      </c>
    </row>
    <row r="1742" customFormat="false" ht="16.4" hidden="false" customHeight="false" outlineLevel="0" collapsed="false">
      <c r="A1742" s="24" t="n">
        <v>532200</v>
      </c>
      <c r="B1742" s="32" t="s">
        <v>1906</v>
      </c>
    </row>
    <row r="1743" customFormat="false" ht="16.4" hidden="false" customHeight="false" outlineLevel="0" collapsed="false">
      <c r="A1743" s="24" t="n">
        <v>532300</v>
      </c>
      <c r="B1743" s="33" t="s">
        <v>1907</v>
      </c>
    </row>
    <row r="1744" customFormat="false" ht="14.25" hidden="false" customHeight="false" outlineLevel="0" collapsed="false">
      <c r="A1744" s="24" t="n">
        <v>532310</v>
      </c>
      <c r="B1744" s="32" t="s">
        <v>1908</v>
      </c>
    </row>
    <row r="1745" customFormat="false" ht="14.25" hidden="false" customHeight="false" outlineLevel="0" collapsed="false">
      <c r="A1745" s="24" t="n">
        <v>532320</v>
      </c>
      <c r="B1745" s="32" t="s">
        <v>1909</v>
      </c>
    </row>
    <row r="1746" customFormat="false" ht="14.25" hidden="false" customHeight="false" outlineLevel="0" collapsed="false">
      <c r="A1746" s="24" t="n">
        <v>532330</v>
      </c>
      <c r="B1746" s="32" t="s">
        <v>1910</v>
      </c>
    </row>
    <row r="1747" customFormat="false" ht="14.25" hidden="false" customHeight="false" outlineLevel="0" collapsed="false">
      <c r="A1747" s="24" t="n">
        <v>532340</v>
      </c>
      <c r="B1747" s="32" t="s">
        <v>1911</v>
      </c>
    </row>
    <row r="1748" customFormat="false" ht="16.4" hidden="false" customHeight="false" outlineLevel="0" collapsed="false">
      <c r="A1748" s="24" t="n">
        <v>532400</v>
      </c>
      <c r="B1748" s="32" t="s">
        <v>1912</v>
      </c>
    </row>
    <row r="1749" customFormat="false" ht="14.25" hidden="false" customHeight="false" outlineLevel="0" collapsed="false">
      <c r="A1749" s="24" t="n">
        <v>532500</v>
      </c>
      <c r="B1749" s="32" t="s">
        <v>1913</v>
      </c>
    </row>
    <row r="1750" customFormat="false" ht="14.25" hidden="false" customHeight="false" outlineLevel="0" collapsed="false">
      <c r="A1750" s="24" t="n">
        <v>532600</v>
      </c>
      <c r="B1750" s="32" t="s">
        <v>1914</v>
      </c>
    </row>
    <row r="1751" customFormat="false" ht="14.25" hidden="false" customHeight="false" outlineLevel="0" collapsed="false">
      <c r="A1751" s="24" t="n">
        <v>532700</v>
      </c>
      <c r="B1751" s="32" t="s">
        <v>1915</v>
      </c>
    </row>
    <row r="1752" customFormat="false" ht="14.25" hidden="false" customHeight="false" outlineLevel="0" collapsed="false">
      <c r="A1752" s="24" t="n">
        <v>532900</v>
      </c>
      <c r="B1752" s="32" t="s">
        <v>1916</v>
      </c>
    </row>
    <row r="1753" customFormat="false" ht="16.4" hidden="false" customHeight="false" outlineLevel="0" collapsed="false">
      <c r="A1753" s="24" t="n">
        <v>540200</v>
      </c>
      <c r="B1753" s="33" t="s">
        <v>1917</v>
      </c>
    </row>
    <row r="1754" customFormat="false" ht="14.25" hidden="false" customHeight="false" outlineLevel="0" collapsed="false">
      <c r="A1754" s="24" t="n">
        <v>540210</v>
      </c>
      <c r="B1754" s="32" t="s">
        <v>1918</v>
      </c>
    </row>
    <row r="1755" customFormat="false" ht="16.4" hidden="false" customHeight="false" outlineLevel="0" collapsed="false">
      <c r="A1755" s="24" t="n">
        <v>540300</v>
      </c>
      <c r="B1755" s="32" t="s">
        <v>1919</v>
      </c>
    </row>
    <row r="1756" customFormat="false" ht="14.25" hidden="false" customHeight="false" outlineLevel="0" collapsed="false">
      <c r="A1756" s="24" t="n">
        <v>540400</v>
      </c>
      <c r="B1756" s="32" t="s">
        <v>1920</v>
      </c>
    </row>
    <row r="1757" customFormat="false" ht="14.25" hidden="false" customHeight="false" outlineLevel="0" collapsed="false">
      <c r="A1757" s="24" t="n">
        <v>540500</v>
      </c>
      <c r="B1757" s="32" t="s">
        <v>1921</v>
      </c>
    </row>
    <row r="1758" customFormat="false" ht="14.25" hidden="false" customHeight="false" outlineLevel="0" collapsed="false">
      <c r="A1758" s="24" t="n">
        <v>540600</v>
      </c>
      <c r="B1758" s="32" t="s">
        <v>1922</v>
      </c>
    </row>
    <row r="1759" customFormat="false" ht="14.25" hidden="false" customHeight="false" outlineLevel="0" collapsed="false">
      <c r="A1759" s="24" t="n">
        <v>540900</v>
      </c>
      <c r="B1759" s="32" t="s">
        <v>1923</v>
      </c>
    </row>
    <row r="1760" customFormat="false" ht="14.25" hidden="false" customHeight="false" outlineLevel="0" collapsed="false">
      <c r="A1760" s="24" t="n">
        <v>551200</v>
      </c>
      <c r="B1760" s="32" t="s">
        <v>1924</v>
      </c>
    </row>
    <row r="1761" customFormat="false" ht="14.25" hidden="false" customHeight="false" outlineLevel="0" collapsed="false">
      <c r="A1761" s="24" t="n">
        <v>551210</v>
      </c>
      <c r="B1761" s="32" t="s">
        <v>1925</v>
      </c>
    </row>
    <row r="1762" customFormat="false" ht="16.4" hidden="false" customHeight="false" outlineLevel="0" collapsed="false">
      <c r="A1762" s="24" t="n">
        <v>551300</v>
      </c>
      <c r="B1762" s="32" t="s">
        <v>1926</v>
      </c>
    </row>
    <row r="1763" customFormat="false" ht="14.25" hidden="false" customHeight="false" outlineLevel="0" collapsed="false">
      <c r="A1763" s="24" t="n">
        <v>551400</v>
      </c>
      <c r="B1763" s="32" t="s">
        <v>1927</v>
      </c>
    </row>
    <row r="1764" customFormat="false" ht="14.25" hidden="false" customHeight="false" outlineLevel="0" collapsed="false">
      <c r="A1764" s="24" t="n">
        <v>551500</v>
      </c>
      <c r="B1764" s="32" t="s">
        <v>1928</v>
      </c>
    </row>
    <row r="1765" customFormat="false" ht="14.25" hidden="false" customHeight="false" outlineLevel="0" collapsed="false">
      <c r="A1765" s="24" t="n">
        <v>551590</v>
      </c>
      <c r="B1765" s="32" t="s">
        <v>1929</v>
      </c>
    </row>
    <row r="1766" customFormat="false" ht="14.25" hidden="false" customHeight="false" outlineLevel="0" collapsed="false">
      <c r="A1766" s="24" t="n">
        <v>551600</v>
      </c>
      <c r="B1766" s="32" t="s">
        <v>1930</v>
      </c>
    </row>
    <row r="1767" customFormat="false" ht="14.25" hidden="false" customHeight="false" outlineLevel="0" collapsed="false">
      <c r="A1767" s="24" t="n">
        <v>551610</v>
      </c>
      <c r="B1767" s="32" t="s">
        <v>1931</v>
      </c>
    </row>
    <row r="1768" customFormat="false" ht="14.25" hidden="false" customHeight="false" outlineLevel="0" collapsed="false">
      <c r="A1768" s="24" t="n">
        <v>551620</v>
      </c>
      <c r="B1768" s="32" t="s">
        <v>1932</v>
      </c>
    </row>
    <row r="1769" customFormat="false" ht="14.25" hidden="false" customHeight="false" outlineLevel="0" collapsed="false">
      <c r="A1769" s="24" t="n">
        <v>551700</v>
      </c>
      <c r="B1769" s="32" t="s">
        <v>1933</v>
      </c>
    </row>
    <row r="1770" customFormat="false" ht="14.25" hidden="false" customHeight="false" outlineLevel="0" collapsed="false">
      <c r="A1770" s="24" t="n">
        <v>551710</v>
      </c>
      <c r="B1770" s="32" t="s">
        <v>1934</v>
      </c>
    </row>
    <row r="1771" customFormat="false" ht="14.25" hidden="false" customHeight="false" outlineLevel="0" collapsed="false">
      <c r="A1771" s="24" t="n">
        <v>551900</v>
      </c>
      <c r="B1771" s="32" t="s">
        <v>1935</v>
      </c>
    </row>
    <row r="1772" customFormat="false" ht="14.25" hidden="false" customHeight="false" outlineLevel="0" collapsed="false">
      <c r="A1772" s="24" t="n">
        <v>551910</v>
      </c>
      <c r="B1772" s="32" t="s">
        <v>1936</v>
      </c>
    </row>
    <row r="1773" customFormat="false" ht="14.25" hidden="false" customHeight="false" outlineLevel="0" collapsed="false">
      <c r="A1773" s="24" t="n">
        <v>551920</v>
      </c>
      <c r="B1773" s="32" t="s">
        <v>1937</v>
      </c>
    </row>
    <row r="1774" customFormat="false" ht="16.4" hidden="false" customHeight="false" outlineLevel="0" collapsed="false">
      <c r="A1774" s="24" t="n">
        <v>551930</v>
      </c>
      <c r="B1774" s="33" t="s">
        <v>1938</v>
      </c>
    </row>
    <row r="1775" customFormat="false" ht="14.25" hidden="false" customHeight="false" outlineLevel="0" collapsed="false">
      <c r="A1775" s="24" t="n">
        <v>551940</v>
      </c>
      <c r="B1775" s="32" t="s">
        <v>1939</v>
      </c>
    </row>
    <row r="1776" customFormat="false" ht="14.25" hidden="false" customHeight="false" outlineLevel="0" collapsed="false">
      <c r="A1776" s="24" t="n">
        <v>551950</v>
      </c>
      <c r="B1776" s="32" t="s">
        <v>1940</v>
      </c>
    </row>
    <row r="1777" customFormat="false" ht="14.25" hidden="false" customHeight="false" outlineLevel="0" collapsed="false">
      <c r="A1777" s="24" t="n">
        <v>552100</v>
      </c>
      <c r="B1777" s="32" t="s">
        <v>1941</v>
      </c>
    </row>
    <row r="1778" customFormat="false" ht="16.4" hidden="false" customHeight="false" outlineLevel="0" collapsed="false">
      <c r="A1778" s="24" t="n">
        <v>560100</v>
      </c>
      <c r="B1778" s="32" t="s">
        <v>1942</v>
      </c>
    </row>
    <row r="1779" customFormat="false" ht="14.25" hidden="false" customHeight="false" outlineLevel="0" collapsed="false">
      <c r="A1779" s="24" t="n">
        <v>560200</v>
      </c>
      <c r="B1779" s="32" t="s">
        <v>1943</v>
      </c>
    </row>
    <row r="1780" customFormat="false" ht="14.25" hidden="false" customHeight="false" outlineLevel="0" collapsed="false">
      <c r="A1780" s="24" t="n">
        <v>560300</v>
      </c>
      <c r="B1780" s="32" t="s">
        <v>1944</v>
      </c>
    </row>
    <row r="1781" customFormat="false" ht="16.4" hidden="false" customHeight="false" outlineLevel="0" collapsed="false">
      <c r="A1781" s="24" t="n">
        <v>560400</v>
      </c>
      <c r="B1781" s="32" t="s">
        <v>1945</v>
      </c>
    </row>
    <row r="1782" customFormat="false" ht="14.25" hidden="false" customHeight="false" outlineLevel="0" collapsed="false">
      <c r="A1782" s="24" t="n">
        <v>560500</v>
      </c>
      <c r="B1782" s="32" t="s">
        <v>1946</v>
      </c>
    </row>
    <row r="1783" customFormat="false" ht="16.4" hidden="false" customHeight="false" outlineLevel="0" collapsed="false">
      <c r="A1783" s="24" t="n">
        <v>560600</v>
      </c>
      <c r="B1783" s="32" t="s">
        <v>1947</v>
      </c>
    </row>
    <row r="1784" customFormat="false" ht="14.25" hidden="false" customHeight="false" outlineLevel="0" collapsed="false">
      <c r="A1784" s="24" t="n">
        <v>560900</v>
      </c>
      <c r="B1784" s="32" t="s">
        <v>1948</v>
      </c>
    </row>
    <row r="1785" customFormat="false" ht="14.25" hidden="false" customHeight="false" outlineLevel="0" collapsed="false">
      <c r="A1785" s="24" t="n">
        <v>561000</v>
      </c>
      <c r="B1785" s="32" t="s">
        <v>1949</v>
      </c>
    </row>
    <row r="1786" customFormat="false" ht="14.25" hidden="false" customHeight="false" outlineLevel="0" collapsed="false">
      <c r="A1786" s="24" t="n">
        <v>570200</v>
      </c>
      <c r="B1786" s="32" t="s">
        <v>1950</v>
      </c>
    </row>
    <row r="1787" customFormat="false" ht="14.25" hidden="false" customHeight="false" outlineLevel="0" collapsed="false">
      <c r="A1787" s="24" t="n">
        <v>570300</v>
      </c>
      <c r="B1787" s="32" t="s">
        <v>1951</v>
      </c>
    </row>
    <row r="1788" customFormat="false" ht="14.25" hidden="false" customHeight="false" outlineLevel="0" collapsed="false">
      <c r="A1788" s="24" t="n">
        <v>570400</v>
      </c>
      <c r="B1788" s="32" t="s">
        <v>1952</v>
      </c>
    </row>
    <row r="1789" customFormat="false" ht="16.4" hidden="false" customHeight="false" outlineLevel="0" collapsed="false">
      <c r="A1789" s="24" t="n">
        <v>570500</v>
      </c>
      <c r="B1789" s="32" t="s">
        <v>1953</v>
      </c>
    </row>
    <row r="1790" customFormat="false" ht="16.4" hidden="false" customHeight="false" outlineLevel="0" collapsed="false">
      <c r="A1790" s="24" t="n">
        <v>570600</v>
      </c>
      <c r="B1790" s="32" t="s">
        <v>1954</v>
      </c>
    </row>
    <row r="1791" customFormat="false" ht="14.25" hidden="false" customHeight="false" outlineLevel="0" collapsed="false">
      <c r="A1791" s="24" t="n">
        <v>581200</v>
      </c>
      <c r="B1791" s="32" t="s">
        <v>1955</v>
      </c>
    </row>
    <row r="1792" customFormat="false" ht="14.25" hidden="false" customHeight="false" outlineLevel="0" collapsed="false">
      <c r="A1792" s="24" t="n">
        <v>581300</v>
      </c>
      <c r="B1792" s="32" t="s">
        <v>1956</v>
      </c>
    </row>
    <row r="1793" customFormat="false" ht="14.25" hidden="false" customHeight="false" outlineLevel="0" collapsed="false">
      <c r="A1793" s="24" t="n">
        <v>581400</v>
      </c>
      <c r="B1793" s="32" t="s">
        <v>1957</v>
      </c>
    </row>
    <row r="1794" customFormat="false" ht="14.25" hidden="false" customHeight="false" outlineLevel="0" collapsed="false">
      <c r="A1794" s="24" t="n">
        <v>581500</v>
      </c>
      <c r="B1794" s="32" t="s">
        <v>1958</v>
      </c>
    </row>
    <row r="1795" customFormat="false" ht="14.25" hidden="false" customHeight="false" outlineLevel="0" collapsed="false">
      <c r="A1795" s="24" t="n">
        <v>581900</v>
      </c>
      <c r="B1795" s="32" t="s">
        <v>1959</v>
      </c>
    </row>
    <row r="1796" customFormat="false" ht="14.25" hidden="false" customHeight="false" outlineLevel="0" collapsed="false">
      <c r="A1796" s="24" t="n">
        <v>582200</v>
      </c>
      <c r="B1796" s="32" t="s">
        <v>1960</v>
      </c>
    </row>
    <row r="1797" customFormat="false" ht="16.4" hidden="false" customHeight="false" outlineLevel="0" collapsed="false">
      <c r="A1797" s="24" t="n">
        <v>582400</v>
      </c>
      <c r="B1797" s="32" t="s">
        <v>1961</v>
      </c>
    </row>
    <row r="1798" customFormat="false" ht="16.4" hidden="false" customHeight="false" outlineLevel="0" collapsed="false">
      <c r="A1798" s="24" t="n">
        <v>582900</v>
      </c>
      <c r="B1798" s="32" t="s">
        <v>1962</v>
      </c>
    </row>
    <row r="1799" customFormat="false" ht="14.25" hidden="false" customHeight="false" outlineLevel="0" collapsed="false">
      <c r="A1799" s="24" t="n">
        <v>583200</v>
      </c>
      <c r="B1799" s="32" t="s">
        <v>1963</v>
      </c>
    </row>
    <row r="1800" customFormat="false" ht="14.25" hidden="false" customHeight="false" outlineLevel="0" collapsed="false">
      <c r="A1800" s="24" t="n">
        <v>583300</v>
      </c>
      <c r="B1800" s="32" t="s">
        <v>1964</v>
      </c>
    </row>
    <row r="1801" customFormat="false" ht="14.25" hidden="false" customHeight="false" outlineLevel="0" collapsed="false">
      <c r="A1801" s="24" t="n">
        <v>583400</v>
      </c>
      <c r="B1801" s="32" t="s">
        <v>1965</v>
      </c>
    </row>
    <row r="1802" customFormat="false" ht="16.4" hidden="false" customHeight="false" outlineLevel="0" collapsed="false">
      <c r="A1802" s="24" t="n">
        <v>583900</v>
      </c>
      <c r="B1802" s="32" t="s">
        <v>1966</v>
      </c>
    </row>
    <row r="1803" customFormat="false" ht="14.25" hidden="false" customHeight="false" outlineLevel="0" collapsed="false">
      <c r="A1803" s="24" t="n">
        <v>585000</v>
      </c>
      <c r="B1803" s="32" t="s">
        <v>1967</v>
      </c>
    </row>
    <row r="1804" customFormat="false" ht="14.25" hidden="false" customHeight="false" outlineLevel="0" collapsed="false">
      <c r="A1804" s="24" t="n">
        <v>585100</v>
      </c>
      <c r="B1804" s="32" t="s">
        <v>1968</v>
      </c>
    </row>
    <row r="1805" customFormat="false" ht="14.25" hidden="false" customHeight="false" outlineLevel="0" collapsed="false">
      <c r="A1805" s="24" t="n">
        <v>585200</v>
      </c>
      <c r="B1805" s="32" t="s">
        <v>1969</v>
      </c>
    </row>
    <row r="1806" customFormat="false" ht="14.25" hidden="false" customHeight="false" outlineLevel="0" collapsed="false">
      <c r="A1806" s="24" t="n">
        <v>585300</v>
      </c>
      <c r="B1806" s="32" t="s">
        <v>1970</v>
      </c>
    </row>
    <row r="1807" customFormat="false" ht="14.25" hidden="false" customHeight="false" outlineLevel="0" collapsed="false">
      <c r="A1807" s="24" t="n">
        <v>585400</v>
      </c>
      <c r="B1807" s="32" t="s">
        <v>1971</v>
      </c>
    </row>
    <row r="1808" customFormat="false" ht="14.25" hidden="false" customHeight="false" outlineLevel="0" collapsed="false">
      <c r="A1808" s="24" t="n">
        <v>585500</v>
      </c>
      <c r="B1808" s="32" t="s">
        <v>1972</v>
      </c>
    </row>
    <row r="1809" customFormat="false" ht="14.25" hidden="false" customHeight="false" outlineLevel="0" collapsed="false">
      <c r="A1809" s="24" t="n">
        <v>585600</v>
      </c>
      <c r="B1809" s="32" t="s">
        <v>1973</v>
      </c>
    </row>
    <row r="1810" customFormat="false" ht="14.25" hidden="false" customHeight="false" outlineLevel="0" collapsed="false">
      <c r="A1810" s="24" t="n">
        <v>585700</v>
      </c>
      <c r="B1810" s="32" t="s">
        <v>1974</v>
      </c>
    </row>
    <row r="1811" customFormat="false" ht="14.25" hidden="false" customHeight="false" outlineLevel="0" collapsed="false">
      <c r="A1811" s="24" t="n">
        <v>585900</v>
      </c>
      <c r="B1811" s="32" t="s">
        <v>1975</v>
      </c>
    </row>
    <row r="1812" customFormat="false" ht="14.25" hidden="false" customHeight="false" outlineLevel="0" collapsed="false">
      <c r="A1812" s="24" t="n">
        <v>586000</v>
      </c>
      <c r="B1812" s="32" t="s">
        <v>1976</v>
      </c>
    </row>
    <row r="1813" customFormat="false" ht="14.25" hidden="false" customHeight="false" outlineLevel="0" collapsed="false">
      <c r="A1813" s="24" t="n">
        <v>586100</v>
      </c>
      <c r="B1813" s="32" t="s">
        <v>1977</v>
      </c>
    </row>
    <row r="1814" customFormat="false" ht="14.25" hidden="false" customHeight="false" outlineLevel="0" collapsed="false">
      <c r="A1814" s="24" t="n">
        <v>586200</v>
      </c>
      <c r="B1814" s="32" t="s">
        <v>1978</v>
      </c>
    </row>
    <row r="1815" customFormat="false" ht="14.25" hidden="false" customHeight="false" outlineLevel="0" collapsed="false">
      <c r="A1815" s="24" t="n">
        <v>586300</v>
      </c>
      <c r="B1815" s="32" t="s">
        <v>1979</v>
      </c>
    </row>
    <row r="1816" customFormat="false" ht="14.25" hidden="false" customHeight="false" outlineLevel="0" collapsed="false">
      <c r="A1816" s="24" t="n">
        <v>586400</v>
      </c>
      <c r="B1816" s="32" t="s">
        <v>1980</v>
      </c>
    </row>
    <row r="1817" customFormat="false" ht="14.25" hidden="false" customHeight="false" outlineLevel="0" collapsed="false">
      <c r="A1817" s="24" t="n">
        <v>587100</v>
      </c>
      <c r="B1817" s="32" t="s">
        <v>1981</v>
      </c>
    </row>
    <row r="1818" customFormat="false" ht="14.25" hidden="false" customHeight="false" outlineLevel="0" collapsed="false">
      <c r="A1818" s="24" t="n">
        <v>587200</v>
      </c>
      <c r="B1818" s="32" t="s">
        <v>1982</v>
      </c>
    </row>
    <row r="1819" customFormat="false" ht="14.25" hidden="false" customHeight="false" outlineLevel="0" collapsed="false">
      <c r="A1819" s="24" t="n">
        <v>589200</v>
      </c>
      <c r="B1819" s="32" t="s">
        <v>1983</v>
      </c>
    </row>
    <row r="1820" customFormat="false" ht="16.4" hidden="false" customHeight="false" outlineLevel="0" collapsed="false">
      <c r="A1820" s="24" t="n">
        <v>589300</v>
      </c>
      <c r="B1820" s="32" t="s">
        <v>1984</v>
      </c>
    </row>
    <row r="1821" customFormat="false" ht="14.25" hidden="false" customHeight="false" outlineLevel="0" collapsed="false">
      <c r="A1821" s="24" t="n">
        <v>589400</v>
      </c>
      <c r="B1821" s="32" t="s">
        <v>1985</v>
      </c>
    </row>
    <row r="1822" customFormat="false" ht="14.25" hidden="false" customHeight="false" outlineLevel="0" collapsed="false">
      <c r="A1822" s="24" t="n">
        <v>589900</v>
      </c>
      <c r="B1822" s="32" t="s">
        <v>1986</v>
      </c>
    </row>
    <row r="1823" customFormat="false" ht="14.25" hidden="false" customHeight="false" outlineLevel="0" collapsed="false">
      <c r="A1823" s="24" t="n">
        <v>591000</v>
      </c>
      <c r="B1823" s="32" t="s">
        <v>1987</v>
      </c>
    </row>
    <row r="1824" customFormat="false" ht="14.25" hidden="false" customHeight="false" outlineLevel="0" collapsed="false">
      <c r="A1824" s="24" t="n">
        <v>591140</v>
      </c>
      <c r="B1824" s="32" t="s">
        <v>1988</v>
      </c>
    </row>
    <row r="1825" customFormat="false" ht="14.25" hidden="false" customHeight="false" outlineLevel="0" collapsed="false">
      <c r="A1825" s="24" t="n">
        <v>591150</v>
      </c>
      <c r="B1825" s="32" t="s">
        <v>1989</v>
      </c>
    </row>
    <row r="1826" customFormat="false" ht="14.25" hidden="false" customHeight="false" outlineLevel="0" collapsed="false">
      <c r="A1826" s="24" t="n">
        <v>591160</v>
      </c>
      <c r="B1826" s="32" t="s">
        <v>1990</v>
      </c>
    </row>
    <row r="1827" customFormat="false" ht="14.25" hidden="false" customHeight="false" outlineLevel="0" collapsed="false">
      <c r="A1827" s="24" t="n">
        <v>591190</v>
      </c>
      <c r="B1827" s="32" t="s">
        <v>1991</v>
      </c>
    </row>
    <row r="1828" customFormat="false" ht="14.25" hidden="false" customHeight="false" outlineLevel="0" collapsed="false">
      <c r="A1828" s="24" t="n">
        <v>591200</v>
      </c>
      <c r="B1828" s="32" t="s">
        <v>1992</v>
      </c>
    </row>
    <row r="1829" customFormat="false" ht="14.25" hidden="false" customHeight="false" outlineLevel="0" collapsed="false">
      <c r="A1829" s="24" t="n">
        <v>591210</v>
      </c>
      <c r="B1829" s="32" t="s">
        <v>1993</v>
      </c>
    </row>
    <row r="1830" customFormat="false" ht="14.25" hidden="false" customHeight="false" outlineLevel="0" collapsed="false">
      <c r="A1830" s="24" t="n">
        <v>591250</v>
      </c>
      <c r="B1830" s="32" t="s">
        <v>1994</v>
      </c>
    </row>
    <row r="1831" customFormat="false" ht="14.25" hidden="false" customHeight="false" outlineLevel="0" collapsed="false">
      <c r="A1831" s="24" t="n">
        <v>591260</v>
      </c>
      <c r="B1831" s="32" t="s">
        <v>1995</v>
      </c>
    </row>
    <row r="1832" customFormat="false" ht="14.25" hidden="false" customHeight="false" outlineLevel="0" collapsed="false">
      <c r="A1832" s="24" t="n">
        <v>591300</v>
      </c>
      <c r="B1832" s="32" t="s">
        <v>1996</v>
      </c>
    </row>
    <row r="1833" customFormat="false" ht="14.25" hidden="false" customHeight="false" outlineLevel="0" collapsed="false">
      <c r="A1833" s="24" t="n">
        <v>591400</v>
      </c>
      <c r="B1833" s="32" t="s">
        <v>1997</v>
      </c>
    </row>
    <row r="1834" customFormat="false" ht="14.25" hidden="false" customHeight="false" outlineLevel="0" collapsed="false">
      <c r="A1834" s="24" t="n">
        <v>591500</v>
      </c>
      <c r="B1834" s="32" t="s">
        <v>1998</v>
      </c>
    </row>
    <row r="1835" customFormat="false" ht="14.25" hidden="false" customHeight="false" outlineLevel="0" collapsed="false">
      <c r="A1835" s="24" t="n">
        <v>591600</v>
      </c>
      <c r="B1835" s="32" t="s">
        <v>1999</v>
      </c>
    </row>
    <row r="1836" customFormat="false" ht="14.25" hidden="false" customHeight="false" outlineLevel="0" collapsed="false">
      <c r="A1836" s="24" t="n">
        <v>591700</v>
      </c>
      <c r="B1836" s="32" t="s">
        <v>2000</v>
      </c>
    </row>
    <row r="1837" customFormat="false" ht="14.25" hidden="false" customHeight="false" outlineLevel="0" collapsed="false">
      <c r="A1837" s="24" t="n">
        <v>592200</v>
      </c>
      <c r="B1837" s="32" t="s">
        <v>2001</v>
      </c>
    </row>
    <row r="1838" customFormat="false" ht="14.25" hidden="false" customHeight="false" outlineLevel="0" collapsed="false">
      <c r="A1838" s="24" t="n">
        <v>592300</v>
      </c>
      <c r="B1838" s="32" t="s">
        <v>2002</v>
      </c>
    </row>
    <row r="1839" customFormat="false" ht="14.25" hidden="false" customHeight="false" outlineLevel="0" collapsed="false">
      <c r="A1839" s="24" t="n">
        <v>592400</v>
      </c>
      <c r="B1839" s="32" t="s">
        <v>2003</v>
      </c>
    </row>
    <row r="1840" customFormat="false" ht="14.25" hidden="false" customHeight="false" outlineLevel="0" collapsed="false">
      <c r="A1840" s="24" t="n">
        <v>592900</v>
      </c>
      <c r="B1840" s="32" t="s">
        <v>2004</v>
      </c>
    </row>
    <row r="1841" customFormat="false" ht="14.25" hidden="false" customHeight="false" outlineLevel="0" collapsed="false">
      <c r="A1841" s="24" t="n">
        <v>599200</v>
      </c>
      <c r="B1841" s="32" t="s">
        <v>2005</v>
      </c>
    </row>
    <row r="1842" customFormat="false" ht="14.25" hidden="false" customHeight="false" outlineLevel="0" collapsed="false">
      <c r="A1842" s="24" t="n">
        <v>599220</v>
      </c>
      <c r="B1842" s="32" t="s">
        <v>2006</v>
      </c>
    </row>
    <row r="1843" customFormat="false" ht="14.25" hidden="false" customHeight="false" outlineLevel="0" collapsed="false">
      <c r="A1843" s="24" t="n">
        <v>599240</v>
      </c>
      <c r="B1843" s="32" t="s">
        <v>2007</v>
      </c>
    </row>
    <row r="1844" customFormat="false" ht="14.25" hidden="false" customHeight="false" outlineLevel="0" collapsed="false">
      <c r="A1844" s="24" t="n">
        <v>599260</v>
      </c>
      <c r="B1844" s="32" t="s">
        <v>2008</v>
      </c>
    </row>
    <row r="1845" customFormat="false" ht="14.25" hidden="false" customHeight="false" outlineLevel="0" collapsed="false">
      <c r="A1845" s="24" t="n">
        <v>599280</v>
      </c>
      <c r="B1845" s="32" t="s">
        <v>2009</v>
      </c>
    </row>
    <row r="1846" customFormat="false" ht="14.25" hidden="false" customHeight="false" outlineLevel="0" collapsed="false">
      <c r="A1846" s="24" t="n">
        <v>599300</v>
      </c>
      <c r="B1846" s="32" t="s">
        <v>2010</v>
      </c>
    </row>
    <row r="1847" customFormat="false" ht="14.25" hidden="false" customHeight="false" outlineLevel="0" collapsed="false">
      <c r="A1847" s="24" t="n">
        <v>599320</v>
      </c>
      <c r="B1847" s="32" t="s">
        <v>2011</v>
      </c>
    </row>
    <row r="1848" customFormat="false" ht="14.25" hidden="false" customHeight="false" outlineLevel="0" collapsed="false">
      <c r="A1848" s="24" t="n">
        <v>599340</v>
      </c>
      <c r="B1848" s="32" t="s">
        <v>2012</v>
      </c>
    </row>
    <row r="1849" customFormat="false" ht="14.25" hidden="false" customHeight="false" outlineLevel="0" collapsed="false">
      <c r="A1849" s="24" t="n">
        <v>599360</v>
      </c>
      <c r="B1849" s="32" t="s">
        <v>2013</v>
      </c>
    </row>
    <row r="1850" customFormat="false" ht="14.25" hidden="false" customHeight="false" outlineLevel="0" collapsed="false">
      <c r="A1850" s="24" t="n">
        <v>599380</v>
      </c>
      <c r="B1850" s="32" t="s">
        <v>2014</v>
      </c>
    </row>
    <row r="1851" customFormat="false" ht="14.25" hidden="false" customHeight="false" outlineLevel="0" collapsed="false">
      <c r="A1851" s="24" t="n">
        <v>599400</v>
      </c>
      <c r="B1851" s="32" t="s">
        <v>2015</v>
      </c>
    </row>
    <row r="1852" customFormat="false" ht="14.25" hidden="false" customHeight="false" outlineLevel="0" collapsed="false">
      <c r="A1852" s="24" t="n">
        <v>599420</v>
      </c>
      <c r="B1852" s="32" t="s">
        <v>2016</v>
      </c>
    </row>
    <row r="1853" customFormat="false" ht="16.4" hidden="false" customHeight="false" outlineLevel="0" collapsed="false">
      <c r="A1853" s="24" t="n">
        <v>599440</v>
      </c>
      <c r="B1853" s="32" t="s">
        <v>2017</v>
      </c>
    </row>
    <row r="1854" customFormat="false" ht="14.25" hidden="false" customHeight="false" outlineLevel="0" collapsed="false">
      <c r="A1854" s="24" t="n">
        <v>599460</v>
      </c>
      <c r="B1854" s="32" t="s">
        <v>2018</v>
      </c>
    </row>
    <row r="1855" customFormat="false" ht="14.25" hidden="false" customHeight="false" outlineLevel="0" collapsed="false">
      <c r="A1855" s="24" t="n">
        <v>599480</v>
      </c>
      <c r="B1855" s="32" t="s">
        <v>2019</v>
      </c>
    </row>
    <row r="1856" customFormat="false" ht="14.25" hidden="false" customHeight="false" outlineLevel="0" collapsed="false">
      <c r="A1856" s="24" t="n">
        <v>599500</v>
      </c>
      <c r="B1856" s="32" t="s">
        <v>2020</v>
      </c>
    </row>
    <row r="1857" customFormat="false" ht="14.25" hidden="false" customHeight="false" outlineLevel="0" collapsed="false">
      <c r="A1857" s="24" t="n">
        <v>599510</v>
      </c>
      <c r="B1857" s="32" t="s">
        <v>2021</v>
      </c>
    </row>
    <row r="1858" customFormat="false" ht="14.25" hidden="false" customHeight="false" outlineLevel="0" collapsed="false">
      <c r="A1858" s="24" t="n">
        <v>599520</v>
      </c>
      <c r="B1858" s="32" t="s">
        <v>2022</v>
      </c>
    </row>
    <row r="1859" customFormat="false" ht="16.4" hidden="false" customHeight="false" outlineLevel="0" collapsed="false">
      <c r="A1859" s="24" t="n">
        <v>599900</v>
      </c>
      <c r="B1859" s="33" t="s">
        <v>2023</v>
      </c>
    </row>
    <row r="1860" customFormat="false" ht="14.25" hidden="false" customHeight="false" outlineLevel="0" collapsed="false">
      <c r="A1860" s="24" t="n">
        <v>600150</v>
      </c>
      <c r="B1860" s="32" t="s">
        <v>2024</v>
      </c>
    </row>
    <row r="1861" customFormat="false" ht="14.25" hidden="false" customHeight="false" outlineLevel="0" collapsed="false">
      <c r="A1861" s="24" t="n">
        <v>600200</v>
      </c>
      <c r="B1861" s="32" t="s">
        <v>2025</v>
      </c>
    </row>
    <row r="1862" customFormat="false" ht="14.25" hidden="false" customHeight="false" outlineLevel="0" collapsed="false">
      <c r="A1862" s="24" t="n">
        <v>600250</v>
      </c>
      <c r="B1862" s="32" t="s">
        <v>2026</v>
      </c>
    </row>
    <row r="1863" customFormat="false" ht="14.25" hidden="false" customHeight="false" outlineLevel="0" collapsed="false">
      <c r="A1863" s="24" t="n">
        <v>600300</v>
      </c>
      <c r="B1863" s="32" t="s">
        <v>2027</v>
      </c>
    </row>
    <row r="1864" customFormat="false" ht="14.25" hidden="false" customHeight="false" outlineLevel="0" collapsed="false">
      <c r="A1864" s="24" t="n">
        <v>600310</v>
      </c>
      <c r="B1864" s="32" t="s">
        <v>2028</v>
      </c>
    </row>
    <row r="1865" customFormat="false" ht="14.25" hidden="false" customHeight="false" outlineLevel="0" collapsed="false">
      <c r="A1865" s="24" t="n">
        <v>600350</v>
      </c>
      <c r="B1865" s="32" t="s">
        <v>2029</v>
      </c>
    </row>
    <row r="1866" customFormat="false" ht="14.25" hidden="false" customHeight="false" outlineLevel="0" collapsed="false">
      <c r="A1866" s="24" t="n">
        <v>600400</v>
      </c>
      <c r="B1866" s="32" t="s">
        <v>2030</v>
      </c>
    </row>
    <row r="1867" customFormat="false" ht="14.25" hidden="false" customHeight="false" outlineLevel="0" collapsed="false">
      <c r="A1867" s="24" t="n">
        <v>600450</v>
      </c>
      <c r="B1867" s="32" t="s">
        <v>2031</v>
      </c>
    </row>
    <row r="1868" customFormat="false" ht="14.25" hidden="false" customHeight="false" outlineLevel="0" collapsed="false">
      <c r="A1868" s="24" t="n">
        <v>600500</v>
      </c>
      <c r="B1868" s="32" t="s">
        <v>2032</v>
      </c>
    </row>
    <row r="1869" customFormat="false" ht="14.25" hidden="false" customHeight="false" outlineLevel="0" collapsed="false">
      <c r="A1869" s="24" t="n">
        <v>600550</v>
      </c>
      <c r="B1869" s="32" t="s">
        <v>2033</v>
      </c>
    </row>
    <row r="1870" customFormat="false" ht="16.4" hidden="false" customHeight="false" outlineLevel="0" collapsed="false">
      <c r="A1870" s="24" t="n">
        <v>600600</v>
      </c>
      <c r="B1870" s="32" t="s">
        <v>2034</v>
      </c>
    </row>
    <row r="1871" customFormat="false" ht="16.4" hidden="false" customHeight="false" outlineLevel="0" collapsed="false">
      <c r="A1871" s="24" t="n">
        <v>600650</v>
      </c>
      <c r="B1871" s="32" t="s">
        <v>2035</v>
      </c>
    </row>
    <row r="1872" customFormat="false" ht="14.25" hidden="false" customHeight="false" outlineLevel="0" collapsed="false">
      <c r="A1872" s="24" t="n">
        <v>600700</v>
      </c>
      <c r="B1872" s="32" t="s">
        <v>2036</v>
      </c>
    </row>
    <row r="1873" customFormat="false" ht="14.25" hidden="false" customHeight="false" outlineLevel="0" collapsed="false">
      <c r="A1873" s="24" t="n">
        <v>600710</v>
      </c>
      <c r="B1873" s="32" t="s">
        <v>2037</v>
      </c>
    </row>
    <row r="1874" customFormat="false" ht="14.25" hidden="false" customHeight="false" outlineLevel="0" collapsed="false">
      <c r="A1874" s="24" t="n">
        <v>600750</v>
      </c>
      <c r="B1874" s="32" t="s">
        <v>2038</v>
      </c>
    </row>
    <row r="1875" customFormat="false" ht="14.25" hidden="false" customHeight="false" outlineLevel="0" collapsed="false">
      <c r="A1875" s="24" t="n">
        <v>600900</v>
      </c>
      <c r="B1875" s="32" t="s">
        <v>2039</v>
      </c>
    </row>
    <row r="1876" customFormat="false" ht="14.25" hidden="false" customHeight="false" outlineLevel="0" collapsed="false">
      <c r="A1876" s="24" t="n">
        <v>605600</v>
      </c>
      <c r="B1876" s="32" t="s">
        <v>2040</v>
      </c>
    </row>
    <row r="1877" customFormat="false" ht="16.4" hidden="false" customHeight="false" outlineLevel="0" collapsed="false">
      <c r="A1877" s="24" t="n">
        <v>611100</v>
      </c>
      <c r="B1877" s="32" t="s">
        <v>2041</v>
      </c>
    </row>
    <row r="1878" customFormat="false" ht="14.25" hidden="false" customHeight="false" outlineLevel="0" collapsed="false">
      <c r="A1878" s="24" t="n">
        <v>611537</v>
      </c>
      <c r="B1878" s="32" t="s">
        <v>2042</v>
      </c>
    </row>
    <row r="1879" customFormat="false" ht="16.4" hidden="false" customHeight="false" outlineLevel="0" collapsed="false">
      <c r="A1879" s="24" t="n">
        <v>612200</v>
      </c>
      <c r="B1879" s="32" t="s">
        <v>2043</v>
      </c>
    </row>
    <row r="1880" customFormat="false" ht="16.4" hidden="false" customHeight="false" outlineLevel="0" collapsed="false">
      <c r="A1880" s="24" t="n">
        <v>612300</v>
      </c>
      <c r="B1880" s="32" t="s">
        <v>2044</v>
      </c>
    </row>
    <row r="1881" customFormat="false" ht="16.4" hidden="false" customHeight="false" outlineLevel="0" collapsed="false">
      <c r="A1881" s="24" t="n">
        <v>612400</v>
      </c>
      <c r="B1881" s="32" t="s">
        <v>2045</v>
      </c>
    </row>
    <row r="1882" customFormat="false" ht="16.4" hidden="false" customHeight="false" outlineLevel="0" collapsed="false">
      <c r="A1882" s="24" t="n">
        <v>612500</v>
      </c>
      <c r="B1882" s="32" t="s">
        <v>2046</v>
      </c>
    </row>
    <row r="1883" customFormat="false" ht="16.4" hidden="false" customHeight="false" outlineLevel="0" collapsed="false">
      <c r="A1883" s="24" t="n">
        <v>612600</v>
      </c>
      <c r="B1883" s="32" t="s">
        <v>2047</v>
      </c>
    </row>
    <row r="1884" customFormat="false" ht="16.4" hidden="false" customHeight="false" outlineLevel="0" collapsed="false">
      <c r="A1884" s="24" t="n">
        <v>612900</v>
      </c>
      <c r="B1884" s="32" t="s">
        <v>2048</v>
      </c>
    </row>
    <row r="1885" customFormat="false" ht="14.25" hidden="false" customHeight="false" outlineLevel="0" collapsed="false">
      <c r="A1885" s="24" t="n">
        <v>620000</v>
      </c>
      <c r="B1885" s="32" t="s">
        <v>2049</v>
      </c>
    </row>
    <row r="1886" customFormat="false" ht="16.4" hidden="false" customHeight="false" outlineLevel="0" collapsed="false">
      <c r="A1886" s="24" t="n">
        <v>621100</v>
      </c>
      <c r="B1886" s="32" t="s">
        <v>2050</v>
      </c>
    </row>
    <row r="1887" customFormat="false" ht="16.4" hidden="false" customHeight="false" outlineLevel="0" collapsed="false">
      <c r="A1887" s="24" t="n">
        <v>621200</v>
      </c>
      <c r="B1887" s="32" t="s">
        <v>2051</v>
      </c>
    </row>
    <row r="1888" customFormat="false" ht="16.4" hidden="false" customHeight="false" outlineLevel="0" collapsed="false">
      <c r="A1888" s="24" t="n">
        <v>621300</v>
      </c>
      <c r="B1888" s="32" t="s">
        <v>2052</v>
      </c>
    </row>
    <row r="1889" customFormat="false" ht="16.4" hidden="false" customHeight="false" outlineLevel="0" collapsed="false">
      <c r="A1889" s="24" t="n">
        <v>621400</v>
      </c>
      <c r="B1889" s="32" t="s">
        <v>2053</v>
      </c>
    </row>
    <row r="1890" customFormat="false" ht="14.25" hidden="false" customHeight="false" outlineLevel="0" collapsed="false">
      <c r="A1890" s="24" t="n">
        <v>621900</v>
      </c>
      <c r="B1890" s="32" t="s">
        <v>2054</v>
      </c>
    </row>
    <row r="1891" customFormat="false" ht="14.25" hidden="false" customHeight="false" outlineLevel="0" collapsed="false">
      <c r="A1891" s="24" t="n">
        <v>622100</v>
      </c>
      <c r="B1891" s="32" t="s">
        <v>2055</v>
      </c>
    </row>
    <row r="1892" customFormat="false" ht="14.25" hidden="false" customHeight="false" outlineLevel="0" collapsed="false">
      <c r="A1892" s="24" t="n">
        <v>623100</v>
      </c>
      <c r="B1892" s="32" t="s">
        <v>2056</v>
      </c>
    </row>
    <row r="1893" customFormat="false" ht="14.25" hidden="false" customHeight="false" outlineLevel="0" collapsed="false">
      <c r="A1893" s="24" t="n">
        <v>623212</v>
      </c>
      <c r="B1893" s="32" t="s">
        <v>2057</v>
      </c>
    </row>
    <row r="1894" customFormat="false" ht="14.25" hidden="false" customHeight="false" outlineLevel="0" collapsed="false">
      <c r="A1894" s="24" t="n">
        <v>624100</v>
      </c>
      <c r="B1894" s="32" t="s">
        <v>2058</v>
      </c>
    </row>
    <row r="1895" customFormat="false" ht="16.4" hidden="false" customHeight="false" outlineLevel="0" collapsed="false">
      <c r="A1895" s="24" t="n">
        <v>624200</v>
      </c>
      <c r="B1895" s="32" t="s">
        <v>2059</v>
      </c>
    </row>
    <row r="1896" customFormat="false" ht="14.25" hidden="false" customHeight="false" outlineLevel="0" collapsed="false">
      <c r="A1896" s="24" t="n">
        <v>624300</v>
      </c>
      <c r="B1896" s="32" t="s">
        <v>2060</v>
      </c>
    </row>
    <row r="1897" customFormat="false" ht="14.25" hidden="false" customHeight="false" outlineLevel="0" collapsed="false">
      <c r="A1897" s="24" t="n">
        <v>624400</v>
      </c>
      <c r="B1897" s="32" t="s">
        <v>2061</v>
      </c>
    </row>
    <row r="1898" customFormat="false" ht="14.25" hidden="false" customHeight="false" outlineLevel="0" collapsed="false">
      <c r="A1898" s="24" t="n">
        <v>624500</v>
      </c>
      <c r="B1898" s="32" t="s">
        <v>2062</v>
      </c>
    </row>
    <row r="1899" customFormat="false" ht="14.25" hidden="false" customHeight="false" outlineLevel="0" collapsed="false">
      <c r="A1899" s="24" t="n">
        <v>624600</v>
      </c>
      <c r="B1899" s="32" t="s">
        <v>2063</v>
      </c>
    </row>
    <row r="1900" customFormat="false" ht="16.4" hidden="false" customHeight="false" outlineLevel="0" collapsed="false">
      <c r="A1900" s="24" t="n">
        <v>624900</v>
      </c>
      <c r="B1900" s="32" t="s">
        <v>2064</v>
      </c>
    </row>
    <row r="1901" customFormat="false" ht="16.4" hidden="false" customHeight="false" outlineLevel="0" collapsed="false">
      <c r="A1901" s="24" t="n">
        <v>625100</v>
      </c>
      <c r="B1901" s="32" t="s">
        <v>2065</v>
      </c>
    </row>
    <row r="1902" customFormat="false" ht="16.4" hidden="false" customHeight="false" outlineLevel="0" collapsed="false">
      <c r="A1902" s="24" t="n">
        <v>625300</v>
      </c>
      <c r="B1902" s="32" t="s">
        <v>2066</v>
      </c>
    </row>
    <row r="1903" customFormat="false" ht="16.4" hidden="false" customHeight="false" outlineLevel="0" collapsed="false">
      <c r="A1903" s="24" t="n">
        <v>625900</v>
      </c>
      <c r="B1903" s="32" t="s">
        <v>2067</v>
      </c>
    </row>
    <row r="1904" customFormat="false" ht="16.4" hidden="false" customHeight="false" outlineLevel="0" collapsed="false">
      <c r="A1904" s="24" t="n">
        <v>626100</v>
      </c>
      <c r="B1904" s="32" t="s">
        <v>2068</v>
      </c>
    </row>
    <row r="1905" customFormat="false" ht="14.25" hidden="false" customHeight="false" outlineLevel="0" collapsed="false">
      <c r="A1905" s="24" t="n">
        <v>626200</v>
      </c>
      <c r="B1905" s="32" t="s">
        <v>2069</v>
      </c>
    </row>
    <row r="1906" customFormat="false" ht="14.25" hidden="false" customHeight="false" outlineLevel="0" collapsed="false">
      <c r="A1906" s="24" t="n">
        <v>626300</v>
      </c>
      <c r="B1906" s="32" t="s">
        <v>2070</v>
      </c>
    </row>
    <row r="1907" customFormat="false" ht="14.25" hidden="false" customHeight="false" outlineLevel="0" collapsed="false">
      <c r="A1907" s="24" t="n">
        <v>627100</v>
      </c>
      <c r="B1907" s="32" t="s">
        <v>2071</v>
      </c>
    </row>
    <row r="1908" customFormat="false" ht="14.25" hidden="false" customHeight="false" outlineLevel="0" collapsed="false">
      <c r="A1908" s="24" t="n">
        <v>627200</v>
      </c>
      <c r="B1908" s="32" t="s">
        <v>2072</v>
      </c>
    </row>
    <row r="1909" customFormat="false" ht="14.25" hidden="false" customHeight="false" outlineLevel="0" collapsed="false">
      <c r="A1909" s="24" t="n">
        <v>627400</v>
      </c>
      <c r="B1909" s="32" t="s">
        <v>2073</v>
      </c>
    </row>
    <row r="1910" customFormat="false" ht="14.25" hidden="false" customHeight="false" outlineLevel="0" collapsed="false">
      <c r="A1910" s="24" t="n">
        <v>628200</v>
      </c>
      <c r="B1910" s="32" t="s">
        <v>2074</v>
      </c>
    </row>
    <row r="1911" customFormat="false" ht="14.25" hidden="false" customHeight="false" outlineLevel="0" collapsed="false">
      <c r="A1911" s="24" t="n">
        <v>628300</v>
      </c>
      <c r="B1911" s="32" t="s">
        <v>2075</v>
      </c>
    </row>
    <row r="1912" customFormat="false" ht="14.25" hidden="false" customHeight="false" outlineLevel="0" collapsed="false">
      <c r="A1912" s="24" t="n">
        <v>628400</v>
      </c>
      <c r="B1912" s="32" t="s">
        <v>2076</v>
      </c>
    </row>
    <row r="1913" customFormat="false" ht="14.25" hidden="false" customHeight="false" outlineLevel="0" collapsed="false">
      <c r="A1913" s="24" t="n">
        <v>628500</v>
      </c>
      <c r="B1913" s="32" t="s">
        <v>2077</v>
      </c>
    </row>
    <row r="1914" customFormat="false" ht="14.25" hidden="false" customHeight="false" outlineLevel="0" collapsed="false">
      <c r="A1914" s="24" t="n">
        <v>628900</v>
      </c>
      <c r="B1914" s="32" t="s">
        <v>2078</v>
      </c>
    </row>
    <row r="1915" customFormat="false" ht="16.4" hidden="false" customHeight="false" outlineLevel="0" collapsed="false">
      <c r="A1915" s="24" t="n">
        <v>629200</v>
      </c>
      <c r="B1915" s="32" t="s">
        <v>2079</v>
      </c>
    </row>
    <row r="1916" customFormat="false" ht="14.25" hidden="false" customHeight="false" outlineLevel="0" collapsed="false">
      <c r="A1916" s="24" t="n">
        <v>629300</v>
      </c>
      <c r="B1916" s="32" t="s">
        <v>2080</v>
      </c>
    </row>
    <row r="1917" customFormat="false" ht="14.25" hidden="false" customHeight="false" outlineLevel="0" collapsed="false">
      <c r="A1917" s="24" t="n">
        <v>629400</v>
      </c>
      <c r="B1917" s="32" t="s">
        <v>2081</v>
      </c>
    </row>
    <row r="1918" customFormat="false" ht="16.4" hidden="false" customHeight="false" outlineLevel="0" collapsed="false">
      <c r="A1918" s="24" t="n">
        <v>629500</v>
      </c>
      <c r="B1918" s="32" t="s">
        <v>2082</v>
      </c>
    </row>
    <row r="1919" customFormat="false" ht="16.4" hidden="false" customHeight="false" outlineLevel="0" collapsed="false">
      <c r="A1919" s="24" t="n">
        <v>629600</v>
      </c>
      <c r="B1919" s="32" t="s">
        <v>2083</v>
      </c>
    </row>
    <row r="1920" customFormat="false" ht="16.4" hidden="false" customHeight="false" outlineLevel="0" collapsed="false">
      <c r="A1920" s="24" t="n">
        <v>629700</v>
      </c>
      <c r="B1920" s="32" t="s">
        <v>2084</v>
      </c>
    </row>
    <row r="1921" customFormat="false" ht="14.25" hidden="false" customHeight="false" outlineLevel="0" collapsed="false">
      <c r="A1921" s="24" t="n">
        <v>629900</v>
      </c>
      <c r="B1921" s="32" t="s">
        <v>2085</v>
      </c>
    </row>
    <row r="1922" customFormat="false" ht="14.25" hidden="false" customHeight="false" outlineLevel="0" collapsed="false">
      <c r="A1922" s="24" t="n">
        <v>641200</v>
      </c>
      <c r="B1922" s="32" t="s">
        <v>2086</v>
      </c>
    </row>
    <row r="1923" customFormat="false" ht="14.25" hidden="false" customHeight="false" outlineLevel="0" collapsed="false">
      <c r="A1923" s="24" t="n">
        <v>641300</v>
      </c>
      <c r="B1923" s="32" t="s">
        <v>2087</v>
      </c>
    </row>
    <row r="1924" customFormat="false" ht="14.25" hidden="false" customHeight="false" outlineLevel="0" collapsed="false">
      <c r="A1924" s="24" t="n">
        <v>641400</v>
      </c>
      <c r="B1924" s="32" t="s">
        <v>2088</v>
      </c>
    </row>
    <row r="1925" customFormat="false" ht="14.25" hidden="false" customHeight="false" outlineLevel="0" collapsed="false">
      <c r="A1925" s="24" t="n">
        <v>641500</v>
      </c>
      <c r="B1925" s="32" t="s">
        <v>2089</v>
      </c>
    </row>
    <row r="1926" customFormat="false" ht="16.4" hidden="false" customHeight="false" outlineLevel="0" collapsed="false">
      <c r="A1926" s="24" t="n">
        <v>641900</v>
      </c>
      <c r="B1926" s="32" t="s">
        <v>2090</v>
      </c>
    </row>
    <row r="1927" customFormat="false" ht="14.25" hidden="false" customHeight="false" outlineLevel="0" collapsed="false">
      <c r="A1927" s="24" t="n">
        <v>642100</v>
      </c>
      <c r="B1927" s="32" t="s">
        <v>2091</v>
      </c>
    </row>
    <row r="1928" customFormat="false" ht="14.25" hidden="false" customHeight="false" outlineLevel="0" collapsed="false">
      <c r="A1928" s="24" t="n">
        <v>642200</v>
      </c>
      <c r="B1928" s="32" t="s">
        <v>2092</v>
      </c>
    </row>
    <row r="1929" customFormat="false" ht="14.25" hidden="false" customHeight="false" outlineLevel="0" collapsed="false">
      <c r="A1929" s="24" t="n">
        <v>699900</v>
      </c>
      <c r="B1929" s="32" t="s">
        <v>2093</v>
      </c>
    </row>
    <row r="1930" customFormat="false" ht="14.25" hidden="false" customHeight="false" outlineLevel="0" collapsed="false">
      <c r="A1930" s="24" t="n">
        <v>700000</v>
      </c>
      <c r="B1930" s="32" t="s">
        <v>2094</v>
      </c>
    </row>
    <row r="1931" customFormat="false" ht="14.25" hidden="false" customHeight="false" outlineLevel="0" collapsed="false">
      <c r="A1931" s="24" t="n">
        <v>700001</v>
      </c>
      <c r="B1931" s="32" t="s">
        <v>2095</v>
      </c>
    </row>
    <row r="1932" customFormat="false" ht="14.25" hidden="false" customHeight="false" outlineLevel="0" collapsed="false">
      <c r="A1932" s="24" t="n">
        <v>700002</v>
      </c>
      <c r="B1932" s="32" t="s">
        <v>2096</v>
      </c>
    </row>
    <row r="1933" customFormat="false" ht="14.25" hidden="false" customHeight="false" outlineLevel="0" collapsed="false">
      <c r="A1933" s="24" t="n">
        <v>700003</v>
      </c>
      <c r="B1933" s="32" t="s">
        <v>2097</v>
      </c>
    </row>
    <row r="1934" customFormat="false" ht="14.25" hidden="false" customHeight="false" outlineLevel="0" collapsed="false">
      <c r="A1934" s="24" t="n">
        <v>700004</v>
      </c>
      <c r="B1934" s="32" t="s">
        <v>2098</v>
      </c>
    </row>
    <row r="1935" customFormat="false" ht="14.25" hidden="false" customHeight="false" outlineLevel="0" collapsed="false">
      <c r="A1935" s="24" t="n">
        <v>700010</v>
      </c>
      <c r="B1935" s="32" t="s">
        <v>2099</v>
      </c>
    </row>
    <row r="1936" customFormat="false" ht="14.25" hidden="false" customHeight="false" outlineLevel="0" collapsed="false">
      <c r="A1936" s="24" t="n">
        <v>700011</v>
      </c>
      <c r="B1936" s="32" t="s">
        <v>2100</v>
      </c>
    </row>
    <row r="1937" customFormat="false" ht="14.25" hidden="false" customHeight="false" outlineLevel="0" collapsed="false">
      <c r="A1937" s="24" t="n">
        <v>700020</v>
      </c>
      <c r="B1937" s="32" t="s">
        <v>2101</v>
      </c>
    </row>
    <row r="1938" customFormat="false" ht="14.25" hidden="false" customHeight="false" outlineLevel="0" collapsed="false">
      <c r="A1938" s="24" t="n">
        <v>700030</v>
      </c>
      <c r="B1938" s="32" t="s">
        <v>2102</v>
      </c>
    </row>
    <row r="1939" customFormat="false" ht="14.25" hidden="false" customHeight="false" outlineLevel="0" collapsed="false">
      <c r="A1939" s="24" t="n">
        <v>700040</v>
      </c>
      <c r="B1939" s="32" t="s">
        <v>2103</v>
      </c>
    </row>
    <row r="1940" customFormat="false" ht="14.25" hidden="false" customHeight="false" outlineLevel="0" collapsed="false">
      <c r="A1940" s="24" t="n">
        <v>700050</v>
      </c>
      <c r="B1940" s="32" t="s">
        <v>2104</v>
      </c>
    </row>
    <row r="1941" customFormat="false" ht="14.25" hidden="false" customHeight="false" outlineLevel="0" collapsed="false">
      <c r="A1941" s="24" t="n">
        <v>700060</v>
      </c>
      <c r="B1941" s="32" t="s">
        <v>2105</v>
      </c>
    </row>
    <row r="1942" customFormat="false" ht="14.25" hidden="false" customHeight="false" outlineLevel="0" collapsed="false">
      <c r="A1942" s="24" t="n">
        <v>700070</v>
      </c>
      <c r="B1942" s="32" t="s">
        <v>2106</v>
      </c>
    </row>
    <row r="1943" customFormat="false" ht="14.25" hidden="false" customHeight="false" outlineLevel="0" collapsed="false">
      <c r="A1943" s="24" t="n">
        <v>700080</v>
      </c>
      <c r="B1943" s="32" t="s">
        <v>2107</v>
      </c>
    </row>
    <row r="1944" customFormat="false" ht="14.25" hidden="false" customHeight="false" outlineLevel="0" collapsed="false">
      <c r="A1944" s="24" t="n">
        <v>700090</v>
      </c>
      <c r="B1944" s="32" t="s">
        <v>2108</v>
      </c>
    </row>
    <row r="1945" customFormat="false" ht="14.25" hidden="false" customHeight="false" outlineLevel="0" collapsed="false">
      <c r="A1945" s="24" t="n">
        <v>700100</v>
      </c>
      <c r="B1945" s="32" t="s">
        <v>2109</v>
      </c>
    </row>
    <row r="1946" customFormat="false" ht="14.25" hidden="false" customHeight="false" outlineLevel="0" collapsed="false">
      <c r="A1946" s="24" t="n">
        <v>700110</v>
      </c>
      <c r="B1946" s="32" t="s">
        <v>2110</v>
      </c>
    </row>
    <row r="1947" customFormat="false" ht="14.25" hidden="false" customHeight="false" outlineLevel="0" collapsed="false">
      <c r="A1947" s="24" t="n">
        <v>700120</v>
      </c>
      <c r="B1947" s="32" t="s">
        <v>2111</v>
      </c>
    </row>
    <row r="1948" customFormat="false" ht="14.25" hidden="false" customHeight="false" outlineLevel="0" collapsed="false">
      <c r="A1948" s="24" t="n">
        <v>700130</v>
      </c>
      <c r="B1948" s="32" t="s">
        <v>2112</v>
      </c>
    </row>
    <row r="1949" customFormat="false" ht="14.25" hidden="false" customHeight="false" outlineLevel="0" collapsed="false">
      <c r="A1949" s="24" t="n">
        <v>700140</v>
      </c>
      <c r="B1949" s="32" t="s">
        <v>2113</v>
      </c>
    </row>
    <row r="1950" customFormat="false" ht="14.25" hidden="false" customHeight="false" outlineLevel="0" collapsed="false">
      <c r="A1950" s="24" t="n">
        <v>700150</v>
      </c>
      <c r="B1950" s="32" t="s">
        <v>2114</v>
      </c>
    </row>
    <row r="1951" customFormat="false" ht="14.25" hidden="false" customHeight="false" outlineLevel="0" collapsed="false">
      <c r="A1951" s="24" t="n">
        <v>700160</v>
      </c>
      <c r="B1951" s="32" t="s">
        <v>2115</v>
      </c>
    </row>
    <row r="1952" customFormat="false" ht="14.25" hidden="false" customHeight="false" outlineLevel="0" collapsed="false">
      <c r="A1952" s="24" t="n">
        <v>700161</v>
      </c>
      <c r="B1952" s="32" t="s">
        <v>2116</v>
      </c>
    </row>
    <row r="1953" customFormat="false" ht="14.25" hidden="false" customHeight="false" outlineLevel="0" collapsed="false">
      <c r="A1953" s="24" t="n">
        <v>700170</v>
      </c>
      <c r="B1953" s="32" t="s">
        <v>2117</v>
      </c>
    </row>
    <row r="1954" customFormat="false" ht="14.25" hidden="false" customHeight="false" outlineLevel="0" collapsed="false">
      <c r="A1954" s="24" t="n">
        <v>700180</v>
      </c>
      <c r="B1954" s="32" t="s">
        <v>2118</v>
      </c>
    </row>
    <row r="1955" customFormat="false" ht="14.25" hidden="false" customHeight="false" outlineLevel="0" collapsed="false">
      <c r="A1955" s="24" t="n">
        <v>700190</v>
      </c>
      <c r="B1955" s="32" t="s">
        <v>2119</v>
      </c>
    </row>
    <row r="1956" customFormat="false" ht="14.25" hidden="false" customHeight="false" outlineLevel="0" collapsed="false">
      <c r="A1956" s="24" t="n">
        <v>700200</v>
      </c>
      <c r="B1956" s="32" t="s">
        <v>2120</v>
      </c>
    </row>
    <row r="1957" customFormat="false" ht="14.25" hidden="false" customHeight="false" outlineLevel="0" collapsed="false">
      <c r="A1957" s="24" t="n">
        <v>700210</v>
      </c>
      <c r="B1957" s="32" t="s">
        <v>2121</v>
      </c>
    </row>
    <row r="1958" customFormat="false" ht="14.25" hidden="false" customHeight="false" outlineLevel="0" collapsed="false">
      <c r="A1958" s="24" t="n">
        <v>700220</v>
      </c>
      <c r="B1958" s="32" t="s">
        <v>2122</v>
      </c>
    </row>
    <row r="1959" customFormat="false" ht="14.25" hidden="false" customHeight="false" outlineLevel="0" collapsed="false">
      <c r="A1959" s="24" t="n">
        <v>700230</v>
      </c>
      <c r="B1959" s="32" t="s">
        <v>2123</v>
      </c>
    </row>
    <row r="1960" customFormat="false" ht="14.25" hidden="false" customHeight="false" outlineLevel="0" collapsed="false">
      <c r="A1960" s="24" t="n">
        <v>700240</v>
      </c>
      <c r="B1960" s="32" t="s">
        <v>2124</v>
      </c>
    </row>
    <row r="1961" customFormat="false" ht="14.25" hidden="false" customHeight="false" outlineLevel="0" collapsed="false">
      <c r="A1961" s="24" t="n">
        <v>700250</v>
      </c>
      <c r="B1961" s="32" t="s">
        <v>2125</v>
      </c>
    </row>
    <row r="1962" customFormat="false" ht="14.25" hidden="false" customHeight="false" outlineLevel="0" collapsed="false">
      <c r="A1962" s="24" t="n">
        <v>700260</v>
      </c>
      <c r="B1962" s="32" t="s">
        <v>2126</v>
      </c>
    </row>
    <row r="1963" customFormat="false" ht="14.25" hidden="false" customHeight="false" outlineLevel="0" collapsed="false">
      <c r="A1963" s="24" t="n">
        <v>700270</v>
      </c>
      <c r="B1963" s="32" t="s">
        <v>2127</v>
      </c>
    </row>
    <row r="1964" customFormat="false" ht="14.25" hidden="false" customHeight="false" outlineLevel="0" collapsed="false">
      <c r="A1964" s="24" t="n">
        <v>700280</v>
      </c>
      <c r="B1964" s="32" t="s">
        <v>2128</v>
      </c>
    </row>
    <row r="1965" customFormat="false" ht="14.25" hidden="false" customHeight="false" outlineLevel="0" collapsed="false">
      <c r="A1965" s="24" t="n">
        <v>700290</v>
      </c>
      <c r="B1965" s="32" t="s">
        <v>2129</v>
      </c>
    </row>
    <row r="1966" customFormat="false" ht="14.25" hidden="false" customHeight="false" outlineLevel="0" collapsed="false">
      <c r="A1966" s="24" t="n">
        <v>700291</v>
      </c>
      <c r="B1966" s="32" t="s">
        <v>2130</v>
      </c>
    </row>
    <row r="1967" customFormat="false" ht="14.25" hidden="false" customHeight="false" outlineLevel="0" collapsed="false">
      <c r="A1967" s="24" t="n">
        <v>700300</v>
      </c>
      <c r="B1967" s="32" t="s">
        <v>2131</v>
      </c>
    </row>
    <row r="1968" customFormat="false" ht="14.25" hidden="false" customHeight="false" outlineLevel="0" collapsed="false">
      <c r="A1968" s="24" t="n">
        <v>700310</v>
      </c>
      <c r="B1968" s="32" t="s">
        <v>2132</v>
      </c>
    </row>
    <row r="1969" customFormat="false" ht="14.25" hidden="false" customHeight="false" outlineLevel="0" collapsed="false">
      <c r="A1969" s="24" t="n">
        <v>700311</v>
      </c>
      <c r="B1969" s="32" t="s">
        <v>2133</v>
      </c>
    </row>
    <row r="1970" customFormat="false" ht="14.25" hidden="false" customHeight="false" outlineLevel="0" collapsed="false">
      <c r="A1970" s="24" t="n">
        <v>700320</v>
      </c>
      <c r="B1970" s="32" t="s">
        <v>2134</v>
      </c>
    </row>
    <row r="1971" customFormat="false" ht="14.25" hidden="false" customHeight="false" outlineLevel="0" collapsed="false">
      <c r="A1971" s="24" t="n">
        <v>700330</v>
      </c>
      <c r="B1971" s="32" t="s">
        <v>2135</v>
      </c>
    </row>
    <row r="1972" customFormat="false" ht="14.25" hidden="false" customHeight="false" outlineLevel="0" collapsed="false">
      <c r="A1972" s="24" t="n">
        <v>700340</v>
      </c>
      <c r="B1972" s="32" t="s">
        <v>2136</v>
      </c>
    </row>
    <row r="1973" customFormat="false" ht="14.25" hidden="false" customHeight="false" outlineLevel="0" collapsed="false">
      <c r="A1973" s="24" t="n">
        <v>700350</v>
      </c>
      <c r="B1973" s="32" t="s">
        <v>2137</v>
      </c>
    </row>
    <row r="1974" customFormat="false" ht="14.25" hidden="false" customHeight="false" outlineLevel="0" collapsed="false">
      <c r="A1974" s="24" t="n">
        <v>700360</v>
      </c>
      <c r="B1974" s="32" t="s">
        <v>2138</v>
      </c>
    </row>
    <row r="1975" customFormat="false" ht="14.25" hidden="false" customHeight="false" outlineLevel="0" collapsed="false">
      <c r="A1975" s="24" t="n">
        <v>700370</v>
      </c>
      <c r="B1975" s="32" t="s">
        <v>2139</v>
      </c>
    </row>
    <row r="1976" customFormat="false" ht="14.25" hidden="false" customHeight="false" outlineLevel="0" collapsed="false">
      <c r="A1976" s="24" t="n">
        <v>700380</v>
      </c>
      <c r="B1976" s="32" t="s">
        <v>2140</v>
      </c>
    </row>
    <row r="1977" customFormat="false" ht="14.25" hidden="false" customHeight="false" outlineLevel="0" collapsed="false">
      <c r="A1977" s="24" t="n">
        <v>700420</v>
      </c>
      <c r="B1977" s="32" t="s">
        <v>2141</v>
      </c>
    </row>
    <row r="1978" customFormat="false" ht="14.25" hidden="false" customHeight="false" outlineLevel="0" collapsed="false">
      <c r="A1978" s="24" t="n">
        <v>700430</v>
      </c>
      <c r="B1978" s="32" t="s">
        <v>2142</v>
      </c>
    </row>
    <row r="1979" customFormat="false" ht="14.25" hidden="false" customHeight="false" outlineLevel="0" collapsed="false">
      <c r="A1979" s="24" t="n">
        <v>700440</v>
      </c>
      <c r="B1979" s="32" t="s">
        <v>2143</v>
      </c>
    </row>
    <row r="1980" customFormat="false" ht="14.25" hidden="false" customHeight="false" outlineLevel="0" collapsed="false">
      <c r="A1980" s="24" t="n">
        <v>700450</v>
      </c>
      <c r="B1980" s="32" t="s">
        <v>2144</v>
      </c>
    </row>
    <row r="1981" customFormat="false" ht="14.25" hidden="false" customHeight="false" outlineLevel="0" collapsed="false">
      <c r="A1981" s="24" t="n">
        <v>700460</v>
      </c>
      <c r="B1981" s="32" t="s">
        <v>2145</v>
      </c>
    </row>
    <row r="1982" customFormat="false" ht="14.25" hidden="false" customHeight="false" outlineLevel="0" collapsed="false">
      <c r="A1982" s="24" t="n">
        <v>700470</v>
      </c>
      <c r="B1982" s="32" t="s">
        <v>2146</v>
      </c>
    </row>
    <row r="1983" customFormat="false" ht="14.25" hidden="false" customHeight="false" outlineLevel="0" collapsed="false">
      <c r="A1983" s="24" t="n">
        <v>700480</v>
      </c>
      <c r="B1983" s="32" t="s">
        <v>2147</v>
      </c>
    </row>
    <row r="1984" customFormat="false" ht="14.25" hidden="false" customHeight="false" outlineLevel="0" collapsed="false">
      <c r="A1984" s="24" t="n">
        <v>700500</v>
      </c>
      <c r="B1984" s="32" t="s">
        <v>2148</v>
      </c>
    </row>
    <row r="1985" customFormat="false" ht="14.25" hidden="false" customHeight="false" outlineLevel="0" collapsed="false">
      <c r="A1985" s="24" t="n">
        <v>700510</v>
      </c>
      <c r="B1985" s="32" t="s">
        <v>2149</v>
      </c>
    </row>
    <row r="1986" customFormat="false" ht="14.25" hidden="false" customHeight="false" outlineLevel="0" collapsed="false">
      <c r="A1986" s="24" t="n">
        <v>700520</v>
      </c>
      <c r="B1986" s="32" t="s">
        <v>2150</v>
      </c>
    </row>
    <row r="1987" customFormat="false" ht="14.25" hidden="false" customHeight="false" outlineLevel="0" collapsed="false">
      <c r="A1987" s="24" t="n">
        <v>700530</v>
      </c>
      <c r="B1987" s="32" t="s">
        <v>2151</v>
      </c>
    </row>
    <row r="1988" customFormat="false" ht="14.25" hidden="false" customHeight="false" outlineLevel="0" collapsed="false">
      <c r="A1988" s="24" t="n">
        <v>700540</v>
      </c>
      <c r="B1988" s="32" t="s">
        <v>2152</v>
      </c>
    </row>
    <row r="1989" customFormat="false" ht="14.25" hidden="false" customHeight="false" outlineLevel="0" collapsed="false">
      <c r="A1989" s="24" t="n">
        <v>700550</v>
      </c>
      <c r="B1989" s="32" t="s">
        <v>2153</v>
      </c>
    </row>
    <row r="1990" customFormat="false" ht="14.25" hidden="false" customHeight="false" outlineLevel="0" collapsed="false">
      <c r="A1990" s="24" t="n">
        <v>700560</v>
      </c>
      <c r="B1990" s="32" t="s">
        <v>2154</v>
      </c>
    </row>
    <row r="1991" customFormat="false" ht="14.25" hidden="false" customHeight="false" outlineLevel="0" collapsed="false">
      <c r="A1991" s="24" t="n">
        <v>700570</v>
      </c>
      <c r="B1991" s="32" t="s">
        <v>2155</v>
      </c>
    </row>
    <row r="1992" customFormat="false" ht="14.25" hidden="false" customHeight="false" outlineLevel="0" collapsed="false">
      <c r="A1992" s="24" t="n">
        <v>700580</v>
      </c>
      <c r="B1992" s="32" t="s">
        <v>2156</v>
      </c>
    </row>
    <row r="1993" customFormat="false" ht="14.25" hidden="false" customHeight="false" outlineLevel="0" collapsed="false">
      <c r="A1993" s="24" t="n">
        <v>700590</v>
      </c>
      <c r="B1993" s="32" t="s">
        <v>2157</v>
      </c>
    </row>
    <row r="1994" customFormat="false" ht="14.25" hidden="false" customHeight="false" outlineLevel="0" collapsed="false">
      <c r="A1994" s="24" t="n">
        <v>700600</v>
      </c>
      <c r="B1994" s="32" t="s">
        <v>2158</v>
      </c>
    </row>
    <row r="1995" customFormat="false" ht="14.25" hidden="false" customHeight="false" outlineLevel="0" collapsed="false">
      <c r="A1995" s="24" t="n">
        <v>700610</v>
      </c>
      <c r="B1995" s="32" t="s">
        <v>2159</v>
      </c>
    </row>
    <row r="1996" customFormat="false" ht="14.25" hidden="false" customHeight="false" outlineLevel="0" collapsed="false">
      <c r="A1996" s="24" t="n">
        <v>700660</v>
      </c>
      <c r="B1996" s="32" t="s">
        <v>2160</v>
      </c>
    </row>
    <row r="1997" customFormat="false" ht="14.25" hidden="false" customHeight="false" outlineLevel="0" collapsed="false">
      <c r="A1997" s="24" t="n">
        <v>700670</v>
      </c>
      <c r="B1997" s="32" t="s">
        <v>2161</v>
      </c>
    </row>
    <row r="1998" customFormat="false" ht="14.25" hidden="false" customHeight="false" outlineLevel="0" collapsed="false">
      <c r="A1998" s="24" t="n">
        <v>700680</v>
      </c>
      <c r="B1998" s="32" t="s">
        <v>2162</v>
      </c>
    </row>
    <row r="1999" customFormat="false" ht="14.25" hidden="false" customHeight="false" outlineLevel="0" collapsed="false">
      <c r="A1999" s="24" t="n">
        <v>700690</v>
      </c>
      <c r="B1999" s="32" t="s">
        <v>2163</v>
      </c>
    </row>
    <row r="2000" customFormat="false" ht="14.25" hidden="false" customHeight="false" outlineLevel="0" collapsed="false">
      <c r="A2000" s="24" t="n">
        <v>700700</v>
      </c>
      <c r="B2000" s="32" t="s">
        <v>2164</v>
      </c>
    </row>
    <row r="2001" customFormat="false" ht="14.25" hidden="false" customHeight="false" outlineLevel="0" collapsed="false">
      <c r="A2001" s="24" t="n">
        <v>700710</v>
      </c>
      <c r="B2001" s="32" t="s">
        <v>2165</v>
      </c>
    </row>
    <row r="2002" customFormat="false" ht="14.25" hidden="false" customHeight="false" outlineLevel="0" collapsed="false">
      <c r="A2002" s="24" t="n">
        <v>700730</v>
      </c>
      <c r="B2002" s="32" t="s">
        <v>2166</v>
      </c>
    </row>
    <row r="2003" customFormat="false" ht="14.25" hidden="false" customHeight="false" outlineLevel="0" collapsed="false">
      <c r="A2003" s="24" t="n">
        <v>700740</v>
      </c>
      <c r="B2003" s="32" t="s">
        <v>2167</v>
      </c>
    </row>
    <row r="2004" customFormat="false" ht="14.25" hidden="false" customHeight="false" outlineLevel="0" collapsed="false">
      <c r="A2004" s="24" t="n">
        <v>700750</v>
      </c>
      <c r="B2004" s="32" t="s">
        <v>2168</v>
      </c>
    </row>
    <row r="2005" customFormat="false" ht="14.25" hidden="false" customHeight="false" outlineLevel="0" collapsed="false">
      <c r="A2005" s="24" t="n">
        <v>700770</v>
      </c>
      <c r="B2005" s="32" t="s">
        <v>2169</v>
      </c>
    </row>
    <row r="2006" customFormat="false" ht="14.25" hidden="false" customHeight="false" outlineLevel="0" collapsed="false">
      <c r="A2006" s="24" t="n">
        <v>700780</v>
      </c>
      <c r="B2006" s="32" t="s">
        <v>2170</v>
      </c>
    </row>
    <row r="2007" customFormat="false" ht="14.25" hidden="false" customHeight="false" outlineLevel="0" collapsed="false">
      <c r="A2007" s="24" t="n">
        <v>700790</v>
      </c>
      <c r="B2007" s="32" t="s">
        <v>2171</v>
      </c>
    </row>
    <row r="2008" customFormat="false" ht="14.25" hidden="false" customHeight="false" outlineLevel="0" collapsed="false">
      <c r="A2008" s="24" t="n">
        <v>700800</v>
      </c>
      <c r="B2008" s="32" t="s">
        <v>2172</v>
      </c>
    </row>
    <row r="2009" customFormat="false" ht="14.25" hidden="false" customHeight="false" outlineLevel="0" collapsed="false">
      <c r="A2009" s="24" t="n">
        <v>700810</v>
      </c>
      <c r="B2009" s="32" t="s">
        <v>2173</v>
      </c>
    </row>
    <row r="2010" customFormat="false" ht="14.25" hidden="false" customHeight="false" outlineLevel="0" collapsed="false">
      <c r="A2010" s="24" t="n">
        <v>700820</v>
      </c>
      <c r="B2010" s="32" t="s">
        <v>2174</v>
      </c>
    </row>
    <row r="2011" customFormat="false" ht="14.25" hidden="false" customHeight="false" outlineLevel="0" collapsed="false">
      <c r="A2011" s="24" t="n">
        <v>700830</v>
      </c>
      <c r="B2011" s="32" t="s">
        <v>2175</v>
      </c>
    </row>
    <row r="2012" customFormat="false" ht="14.25" hidden="false" customHeight="false" outlineLevel="0" collapsed="false">
      <c r="A2012" s="24" t="n">
        <v>700840</v>
      </c>
      <c r="B2012" s="32" t="s">
        <v>2176</v>
      </c>
    </row>
    <row r="2013" customFormat="false" ht="14.25" hidden="false" customHeight="false" outlineLevel="0" collapsed="false">
      <c r="A2013" s="24" t="n">
        <v>700850</v>
      </c>
      <c r="B2013" s="32" t="s">
        <v>2177</v>
      </c>
    </row>
    <row r="2014" customFormat="false" ht="14.25" hidden="false" customHeight="false" outlineLevel="0" collapsed="false">
      <c r="A2014" s="24" t="n">
        <v>700860</v>
      </c>
      <c r="B2014" s="32" t="s">
        <v>2178</v>
      </c>
    </row>
    <row r="2015" customFormat="false" ht="14.25" hidden="false" customHeight="false" outlineLevel="0" collapsed="false">
      <c r="A2015" s="24" t="n">
        <v>700870</v>
      </c>
      <c r="B2015" s="32" t="s">
        <v>2179</v>
      </c>
    </row>
    <row r="2016" customFormat="false" ht="14.25" hidden="false" customHeight="false" outlineLevel="0" collapsed="false">
      <c r="A2016" s="24" t="n">
        <v>700880</v>
      </c>
      <c r="B2016" s="32" t="s">
        <v>2180</v>
      </c>
    </row>
    <row r="2017" customFormat="false" ht="14.25" hidden="false" customHeight="false" outlineLevel="0" collapsed="false">
      <c r="A2017" s="24" t="n">
        <v>700890</v>
      </c>
      <c r="B2017" s="32" t="s">
        <v>2181</v>
      </c>
    </row>
    <row r="2018" customFormat="false" ht="14.25" hidden="false" customHeight="false" outlineLevel="0" collapsed="false">
      <c r="A2018" s="24" t="n">
        <v>700900</v>
      </c>
      <c r="B2018" s="32" t="s">
        <v>2182</v>
      </c>
    </row>
    <row r="2019" customFormat="false" ht="14.25" hidden="false" customHeight="false" outlineLevel="0" collapsed="false">
      <c r="A2019" s="24" t="n">
        <v>700910</v>
      </c>
      <c r="B2019" s="32" t="s">
        <v>2183</v>
      </c>
    </row>
    <row r="2020" customFormat="false" ht="14.25" hidden="false" customHeight="false" outlineLevel="0" collapsed="false">
      <c r="A2020" s="24" t="n">
        <v>700920</v>
      </c>
      <c r="B2020" s="32" t="s">
        <v>2184</v>
      </c>
    </row>
    <row r="2021" customFormat="false" ht="14.25" hidden="false" customHeight="false" outlineLevel="0" collapsed="false">
      <c r="A2021" s="24" t="n">
        <v>700930</v>
      </c>
      <c r="B2021" s="32" t="s">
        <v>2185</v>
      </c>
    </row>
    <row r="2022" customFormat="false" ht="14.25" hidden="false" customHeight="false" outlineLevel="0" collapsed="false">
      <c r="A2022" s="24" t="n">
        <v>700940</v>
      </c>
      <c r="B2022" s="32" t="s">
        <v>2186</v>
      </c>
    </row>
    <row r="2023" customFormat="false" ht="14.25" hidden="false" customHeight="false" outlineLevel="0" collapsed="false">
      <c r="A2023" s="24" t="n">
        <v>700950</v>
      </c>
      <c r="B2023" s="32" t="s">
        <v>2187</v>
      </c>
    </row>
    <row r="2024" customFormat="false" ht="14.25" hidden="false" customHeight="false" outlineLevel="0" collapsed="false">
      <c r="A2024" s="24" t="n">
        <v>700960</v>
      </c>
      <c r="B2024" s="32" t="s">
        <v>2188</v>
      </c>
    </row>
    <row r="2025" customFormat="false" ht="16.4" hidden="false" customHeight="false" outlineLevel="0" collapsed="false">
      <c r="A2025" s="24" t="n">
        <v>700990</v>
      </c>
      <c r="B2025" s="32" t="s">
        <v>2189</v>
      </c>
    </row>
    <row r="2026" customFormat="false" ht="14.25" hidden="false" customHeight="false" outlineLevel="0" collapsed="false">
      <c r="A2026" s="24" t="n">
        <v>701000</v>
      </c>
      <c r="B2026" s="32" t="s">
        <v>2190</v>
      </c>
    </row>
    <row r="2027" customFormat="false" ht="14.25" hidden="false" customHeight="false" outlineLevel="0" collapsed="false">
      <c r="A2027" s="24" t="n">
        <v>702000</v>
      </c>
      <c r="B2027" s="32" t="s">
        <v>2191</v>
      </c>
    </row>
    <row r="2028" customFormat="false" ht="14.25" hidden="false" customHeight="false" outlineLevel="0" collapsed="false">
      <c r="A2028" s="24" t="n">
        <v>702100</v>
      </c>
      <c r="B2028" s="32" t="s">
        <v>2192</v>
      </c>
    </row>
    <row r="2029" customFormat="false" ht="14.25" hidden="false" customHeight="false" outlineLevel="0" collapsed="false">
      <c r="A2029" s="24" t="n">
        <v>703000</v>
      </c>
      <c r="B2029" s="32" t="s">
        <v>2193</v>
      </c>
    </row>
    <row r="2030" customFormat="false" ht="14.25" hidden="false" customHeight="false" outlineLevel="0" collapsed="false">
      <c r="A2030" s="24" t="n">
        <v>704000</v>
      </c>
      <c r="B2030" s="32" t="s">
        <v>2194</v>
      </c>
    </row>
    <row r="2031" customFormat="false" ht="14.25" hidden="false" customHeight="false" outlineLevel="0" collapsed="false">
      <c r="A2031" s="24" t="n">
        <v>710000</v>
      </c>
      <c r="B2031" s="32" t="s">
        <v>2195</v>
      </c>
    </row>
    <row r="2032" customFormat="false" ht="14.25" hidden="false" customHeight="false" outlineLevel="0" collapsed="false">
      <c r="A2032" s="24" t="n">
        <v>711001</v>
      </c>
      <c r="B2032" s="32" t="s">
        <v>2196</v>
      </c>
    </row>
    <row r="2033" customFormat="false" ht="16.4" hidden="false" customHeight="false" outlineLevel="0" collapsed="false">
      <c r="A2033" s="24" t="n">
        <v>711050</v>
      </c>
      <c r="B2033" s="32" t="s">
        <v>2197</v>
      </c>
    </row>
    <row r="2034" customFormat="false" ht="16.4" hidden="false" customHeight="false" outlineLevel="0" collapsed="false">
      <c r="A2034" s="24" t="n">
        <v>711100</v>
      </c>
      <c r="B2034" s="32" t="s">
        <v>2198</v>
      </c>
    </row>
    <row r="2035" customFormat="false" ht="14.25" hidden="false" customHeight="false" outlineLevel="0" collapsed="false">
      <c r="A2035" s="24" t="n">
        <v>711200</v>
      </c>
      <c r="B2035" s="32" t="s">
        <v>2199</v>
      </c>
    </row>
    <row r="2036" customFormat="false" ht="14.25" hidden="false" customHeight="false" outlineLevel="0" collapsed="false">
      <c r="A2036" s="24" t="n">
        <v>711300</v>
      </c>
      <c r="B2036" s="32" t="s">
        <v>2200</v>
      </c>
    </row>
    <row r="2037" customFormat="false" ht="14.25" hidden="false" customHeight="false" outlineLevel="0" collapsed="false">
      <c r="A2037" s="24" t="n">
        <v>711400</v>
      </c>
      <c r="B2037" s="32" t="s">
        <v>2201</v>
      </c>
    </row>
    <row r="2038" customFormat="false" ht="14.25" hidden="false" customHeight="false" outlineLevel="0" collapsed="false">
      <c r="A2038" s="24" t="n">
        <v>711500</v>
      </c>
      <c r="B2038" s="32" t="s">
        <v>2202</v>
      </c>
    </row>
    <row r="2039" customFormat="false" ht="14.25" hidden="false" customHeight="false" outlineLevel="0" collapsed="false">
      <c r="A2039" s="24" t="n">
        <v>711600</v>
      </c>
      <c r="B2039" s="32" t="s">
        <v>2203</v>
      </c>
    </row>
    <row r="2040" customFormat="false" ht="16.4" hidden="false" customHeight="false" outlineLevel="0" collapsed="false">
      <c r="A2040" s="24" t="n">
        <v>711900</v>
      </c>
      <c r="B2040" s="32" t="s">
        <v>2204</v>
      </c>
    </row>
    <row r="2041" customFormat="false" ht="14.25" hidden="false" customHeight="false" outlineLevel="0" collapsed="false">
      <c r="A2041" s="24" t="n">
        <v>712000</v>
      </c>
      <c r="B2041" s="32" t="s">
        <v>2205</v>
      </c>
    </row>
    <row r="2042" customFormat="false" ht="14.25" hidden="false" customHeight="false" outlineLevel="0" collapsed="false">
      <c r="A2042" s="24" t="n">
        <v>712200</v>
      </c>
      <c r="B2042" s="32" t="s">
        <v>2206</v>
      </c>
    </row>
    <row r="2043" customFormat="false" ht="14.25" hidden="false" customHeight="false" outlineLevel="0" collapsed="false">
      <c r="A2043" s="24" t="n">
        <v>712300</v>
      </c>
      <c r="B2043" s="32" t="s">
        <v>2207</v>
      </c>
    </row>
    <row r="2044" customFormat="false" ht="14.25" hidden="false" customHeight="false" outlineLevel="0" collapsed="false">
      <c r="A2044" s="24" t="n">
        <v>712400</v>
      </c>
      <c r="B2044" s="32" t="s">
        <v>2208</v>
      </c>
    </row>
    <row r="2045" customFormat="false" ht="14.25" hidden="false" customHeight="false" outlineLevel="0" collapsed="false">
      <c r="A2045" s="24" t="n">
        <v>712500</v>
      </c>
      <c r="B2045" s="32" t="s">
        <v>2209</v>
      </c>
    </row>
    <row r="2046" customFormat="false" ht="14.25" hidden="false" customHeight="false" outlineLevel="0" collapsed="false">
      <c r="A2046" s="24" t="n">
        <v>712600</v>
      </c>
      <c r="B2046" s="32" t="s">
        <v>2210</v>
      </c>
    </row>
    <row r="2047" customFormat="false" ht="14.25" hidden="false" customHeight="false" outlineLevel="0" collapsed="false">
      <c r="A2047" s="24" t="n">
        <v>712700</v>
      </c>
      <c r="B2047" s="32" t="s">
        <v>2211</v>
      </c>
    </row>
    <row r="2048" customFormat="false" ht="16.4" hidden="false" customHeight="false" outlineLevel="0" collapsed="false">
      <c r="A2048" s="24" t="n">
        <v>712800</v>
      </c>
      <c r="B2048" s="32" t="s">
        <v>2212</v>
      </c>
    </row>
    <row r="2049" customFormat="false" ht="14.25" hidden="false" customHeight="false" outlineLevel="0" collapsed="false">
      <c r="A2049" s="24" t="n">
        <v>712900</v>
      </c>
      <c r="B2049" s="32" t="s">
        <v>2213</v>
      </c>
    </row>
    <row r="2050" customFormat="false" ht="16.4" hidden="false" customHeight="false" outlineLevel="0" collapsed="false">
      <c r="A2050" s="24" t="n">
        <v>713100</v>
      </c>
      <c r="B2050" s="32" t="s">
        <v>2214</v>
      </c>
    </row>
    <row r="2051" customFormat="false" ht="14.25" hidden="false" customHeight="false" outlineLevel="0" collapsed="false">
      <c r="A2051" s="24" t="n">
        <v>713200</v>
      </c>
      <c r="B2051" s="32" t="s">
        <v>2215</v>
      </c>
    </row>
    <row r="2052" customFormat="false" ht="14.25" hidden="false" customHeight="false" outlineLevel="0" collapsed="false">
      <c r="A2052" s="24" t="n">
        <v>713300</v>
      </c>
      <c r="B2052" s="32" t="s">
        <v>2216</v>
      </c>
    </row>
    <row r="2053" customFormat="false" ht="14.25" hidden="false" customHeight="false" outlineLevel="0" collapsed="false">
      <c r="A2053" s="24" t="n">
        <v>713400</v>
      </c>
      <c r="B2053" s="32" t="s">
        <v>2217</v>
      </c>
    </row>
    <row r="2054" customFormat="false" ht="14.25" hidden="false" customHeight="false" outlineLevel="0" collapsed="false">
      <c r="A2054" s="24" t="n">
        <v>713500</v>
      </c>
      <c r="B2054" s="32" t="s">
        <v>2218</v>
      </c>
    </row>
    <row r="2055" customFormat="false" ht="16.4" hidden="false" customHeight="false" outlineLevel="0" collapsed="false">
      <c r="A2055" s="24" t="n">
        <v>713900</v>
      </c>
      <c r="B2055" s="32" t="s">
        <v>2219</v>
      </c>
    </row>
    <row r="2056" customFormat="false" ht="14.25" hidden="false" customHeight="false" outlineLevel="0" collapsed="false">
      <c r="A2056" s="24" t="n">
        <v>721200</v>
      </c>
      <c r="B2056" s="32" t="s">
        <v>2220</v>
      </c>
    </row>
    <row r="2057" customFormat="false" ht="14.25" hidden="false" customHeight="false" outlineLevel="0" collapsed="false">
      <c r="A2057" s="24" t="n">
        <v>721300</v>
      </c>
      <c r="B2057" s="32" t="s">
        <v>2221</v>
      </c>
    </row>
    <row r="2058" customFormat="false" ht="14.25" hidden="false" customHeight="false" outlineLevel="0" collapsed="false">
      <c r="A2058" s="24" t="n">
        <v>721400</v>
      </c>
      <c r="B2058" s="32" t="s">
        <v>2222</v>
      </c>
    </row>
    <row r="2059" customFormat="false" ht="14.25" hidden="false" customHeight="false" outlineLevel="0" collapsed="false">
      <c r="A2059" s="24" t="n">
        <v>721500</v>
      </c>
      <c r="B2059" s="32" t="s">
        <v>2223</v>
      </c>
    </row>
    <row r="2060" customFormat="false" ht="14.25" hidden="false" customHeight="false" outlineLevel="0" collapsed="false">
      <c r="A2060" s="24" t="n">
        <v>721600</v>
      </c>
      <c r="B2060" s="32" t="s">
        <v>2224</v>
      </c>
    </row>
    <row r="2061" customFormat="false" ht="14.25" hidden="false" customHeight="false" outlineLevel="0" collapsed="false">
      <c r="A2061" s="24" t="n">
        <v>721700</v>
      </c>
      <c r="B2061" s="32" t="s">
        <v>2225</v>
      </c>
    </row>
    <row r="2062" customFormat="false" ht="14.25" hidden="false" customHeight="false" outlineLevel="0" collapsed="false">
      <c r="A2062" s="24" t="n">
        <v>721800</v>
      </c>
      <c r="B2062" s="32" t="s">
        <v>2226</v>
      </c>
    </row>
    <row r="2063" customFormat="false" ht="14.25" hidden="false" customHeight="false" outlineLevel="0" collapsed="false">
      <c r="A2063" s="24" t="n">
        <v>721900</v>
      </c>
      <c r="B2063" s="32" t="s">
        <v>2227</v>
      </c>
    </row>
    <row r="2064" customFormat="false" ht="14.25" hidden="false" customHeight="false" outlineLevel="0" collapsed="false">
      <c r="A2064" s="24" t="n">
        <v>722200</v>
      </c>
      <c r="B2064" s="32" t="s">
        <v>2228</v>
      </c>
    </row>
    <row r="2065" customFormat="false" ht="16.4" hidden="false" customHeight="false" outlineLevel="0" collapsed="false">
      <c r="A2065" s="24" t="n">
        <v>722300</v>
      </c>
      <c r="B2065" s="33" t="s">
        <v>2229</v>
      </c>
    </row>
    <row r="2066" customFormat="false" ht="14.25" hidden="false" customHeight="false" outlineLevel="0" collapsed="false">
      <c r="A2066" s="24" t="n">
        <v>722400</v>
      </c>
      <c r="B2066" s="32" t="s">
        <v>2230</v>
      </c>
    </row>
    <row r="2067" customFormat="false" ht="14.25" hidden="false" customHeight="false" outlineLevel="0" collapsed="false">
      <c r="A2067" s="24" t="n">
        <v>722500</v>
      </c>
      <c r="B2067" s="32" t="s">
        <v>2231</v>
      </c>
    </row>
    <row r="2068" customFormat="false" ht="14.25" hidden="false" customHeight="false" outlineLevel="0" collapsed="false">
      <c r="A2068" s="24" t="n">
        <v>722600</v>
      </c>
      <c r="B2068" s="32" t="s">
        <v>2232</v>
      </c>
    </row>
    <row r="2069" customFormat="false" ht="14.25" hidden="false" customHeight="false" outlineLevel="0" collapsed="false">
      <c r="A2069" s="24" t="n">
        <v>722700</v>
      </c>
      <c r="B2069" s="32" t="s">
        <v>2233</v>
      </c>
    </row>
    <row r="2070" customFormat="false" ht="14.25" hidden="false" customHeight="false" outlineLevel="0" collapsed="false">
      <c r="A2070" s="24" t="n">
        <v>722900</v>
      </c>
      <c r="B2070" s="32" t="s">
        <v>2234</v>
      </c>
    </row>
    <row r="2071" customFormat="false" ht="14.25" hidden="false" customHeight="false" outlineLevel="0" collapsed="false">
      <c r="A2071" s="24" t="n">
        <v>723200</v>
      </c>
      <c r="B2071" s="32" t="s">
        <v>2235</v>
      </c>
    </row>
    <row r="2072" customFormat="false" ht="14.25" hidden="false" customHeight="false" outlineLevel="0" collapsed="false">
      <c r="A2072" s="24" t="n">
        <v>723300</v>
      </c>
      <c r="B2072" s="32" t="s">
        <v>2236</v>
      </c>
    </row>
    <row r="2073" customFormat="false" ht="14.25" hidden="false" customHeight="false" outlineLevel="0" collapsed="false">
      <c r="A2073" s="24" t="n">
        <v>723400</v>
      </c>
      <c r="B2073" s="32" t="s">
        <v>2237</v>
      </c>
    </row>
    <row r="2074" customFormat="false" ht="14.25" hidden="false" customHeight="false" outlineLevel="0" collapsed="false">
      <c r="A2074" s="24" t="n">
        <v>723500</v>
      </c>
      <c r="B2074" s="32" t="s">
        <v>2238</v>
      </c>
    </row>
    <row r="2075" customFormat="false" ht="16.4" hidden="false" customHeight="false" outlineLevel="0" collapsed="false">
      <c r="A2075" s="24" t="n">
        <v>723600</v>
      </c>
      <c r="B2075" s="32" t="s">
        <v>2239</v>
      </c>
    </row>
    <row r="2076" customFormat="false" ht="14.25" hidden="false" customHeight="false" outlineLevel="0" collapsed="false">
      <c r="A2076" s="24" t="n">
        <v>723700</v>
      </c>
      <c r="B2076" s="32" t="s">
        <v>2240</v>
      </c>
    </row>
    <row r="2077" customFormat="false" ht="14.25" hidden="false" customHeight="false" outlineLevel="0" collapsed="false">
      <c r="A2077" s="24" t="n">
        <v>723900</v>
      </c>
      <c r="B2077" s="32" t="s">
        <v>2241</v>
      </c>
    </row>
    <row r="2078" customFormat="false" ht="14.25" hidden="false" customHeight="false" outlineLevel="0" collapsed="false">
      <c r="A2078" s="24" t="n">
        <v>724200</v>
      </c>
      <c r="B2078" s="32" t="s">
        <v>2242</v>
      </c>
    </row>
    <row r="2079" customFormat="false" ht="14.25" hidden="false" customHeight="false" outlineLevel="0" collapsed="false">
      <c r="A2079" s="24" t="n">
        <v>724300</v>
      </c>
      <c r="B2079" s="32" t="s">
        <v>2243</v>
      </c>
    </row>
    <row r="2080" customFormat="false" ht="14.25" hidden="false" customHeight="false" outlineLevel="0" collapsed="false">
      <c r="A2080" s="24" t="n">
        <v>724400</v>
      </c>
      <c r="B2080" s="32" t="s">
        <v>2244</v>
      </c>
    </row>
    <row r="2081" customFormat="false" ht="14.25" hidden="false" customHeight="false" outlineLevel="0" collapsed="false">
      <c r="A2081" s="24" t="n">
        <v>724500</v>
      </c>
      <c r="B2081" s="32" t="s">
        <v>2245</v>
      </c>
    </row>
    <row r="2082" customFormat="false" ht="16.4" hidden="false" customHeight="false" outlineLevel="0" collapsed="false">
      <c r="A2082" s="24" t="n">
        <v>724900</v>
      </c>
      <c r="B2082" s="32" t="s">
        <v>2246</v>
      </c>
    </row>
    <row r="2083" customFormat="false" ht="14.25" hidden="false" customHeight="false" outlineLevel="0" collapsed="false">
      <c r="A2083" s="24" t="n">
        <v>725000</v>
      </c>
      <c r="B2083" s="32" t="s">
        <v>2247</v>
      </c>
    </row>
    <row r="2084" customFormat="false" ht="16.4" hidden="false" customHeight="false" outlineLevel="0" collapsed="false">
      <c r="A2084" s="24" t="n">
        <v>725100</v>
      </c>
      <c r="B2084" s="32" t="s">
        <v>2248</v>
      </c>
    </row>
    <row r="2085" customFormat="false" ht="14.25" hidden="false" customHeight="false" outlineLevel="0" collapsed="false">
      <c r="A2085" s="24" t="n">
        <v>725200</v>
      </c>
      <c r="B2085" s="32" t="s">
        <v>2249</v>
      </c>
    </row>
    <row r="2086" customFormat="false" ht="14.25" hidden="false" customHeight="false" outlineLevel="0" collapsed="false">
      <c r="A2086" s="24" t="n">
        <v>725300</v>
      </c>
      <c r="B2086" s="32" t="s">
        <v>2250</v>
      </c>
    </row>
    <row r="2087" customFormat="false" ht="14.25" hidden="false" customHeight="false" outlineLevel="0" collapsed="false">
      <c r="A2087" s="24" t="n">
        <v>725400</v>
      </c>
      <c r="B2087" s="32" t="s">
        <v>2251</v>
      </c>
    </row>
    <row r="2088" customFormat="false" ht="14.25" hidden="false" customHeight="false" outlineLevel="0" collapsed="false">
      <c r="A2088" s="24" t="n">
        <v>725500</v>
      </c>
      <c r="B2088" s="32" t="s">
        <v>2252</v>
      </c>
    </row>
    <row r="2089" customFormat="false" ht="14.25" hidden="false" customHeight="false" outlineLevel="0" collapsed="false">
      <c r="A2089" s="24" t="n">
        <v>725900</v>
      </c>
      <c r="B2089" s="32" t="s">
        <v>2253</v>
      </c>
    </row>
    <row r="2090" customFormat="false" ht="14.25" hidden="false" customHeight="false" outlineLevel="0" collapsed="false">
      <c r="A2090" s="24" t="n">
        <v>726200</v>
      </c>
      <c r="B2090" s="32" t="s">
        <v>2254</v>
      </c>
    </row>
    <row r="2091" customFormat="false" ht="14.25" hidden="false" customHeight="false" outlineLevel="0" collapsed="false">
      <c r="A2091" s="24" t="n">
        <v>726300</v>
      </c>
      <c r="B2091" s="32" t="s">
        <v>2255</v>
      </c>
    </row>
    <row r="2092" customFormat="false" ht="14.25" hidden="false" customHeight="false" outlineLevel="0" collapsed="false">
      <c r="A2092" s="24" t="n">
        <v>726400</v>
      </c>
      <c r="B2092" s="32" t="s">
        <v>2256</v>
      </c>
    </row>
    <row r="2093" customFormat="false" ht="14.25" hidden="false" customHeight="false" outlineLevel="0" collapsed="false">
      <c r="A2093" s="24" t="n">
        <v>726500</v>
      </c>
      <c r="B2093" s="32" t="s">
        <v>2257</v>
      </c>
    </row>
    <row r="2094" customFormat="false" ht="14.25" hidden="false" customHeight="false" outlineLevel="0" collapsed="false">
      <c r="A2094" s="24" t="n">
        <v>726600</v>
      </c>
      <c r="B2094" s="32" t="s">
        <v>2258</v>
      </c>
    </row>
    <row r="2095" customFormat="false" ht="16.4" hidden="false" customHeight="false" outlineLevel="0" collapsed="false">
      <c r="A2095" s="24" t="n">
        <v>726900</v>
      </c>
      <c r="B2095" s="32" t="s">
        <v>2259</v>
      </c>
    </row>
    <row r="2096" customFormat="false" ht="16.4" hidden="false" customHeight="false" outlineLevel="0" collapsed="false">
      <c r="A2096" s="24" t="n">
        <v>727100</v>
      </c>
      <c r="B2096" s="32" t="s">
        <v>2260</v>
      </c>
    </row>
    <row r="2097" customFormat="false" ht="14.25" hidden="false" customHeight="false" outlineLevel="0" collapsed="false">
      <c r="A2097" s="24" t="n">
        <v>727200</v>
      </c>
      <c r="B2097" s="32" t="s">
        <v>2261</v>
      </c>
    </row>
    <row r="2098" customFormat="false" ht="14.25" hidden="false" customHeight="false" outlineLevel="0" collapsed="false">
      <c r="A2098" s="24" t="n">
        <v>727300</v>
      </c>
      <c r="B2098" s="32" t="s">
        <v>2262</v>
      </c>
    </row>
    <row r="2099" customFormat="false" ht="14.25" hidden="false" customHeight="false" outlineLevel="0" collapsed="false">
      <c r="A2099" s="24" t="n">
        <v>727400</v>
      </c>
      <c r="B2099" s="32" t="s">
        <v>2263</v>
      </c>
    </row>
    <row r="2100" customFormat="false" ht="16.4" hidden="false" customHeight="false" outlineLevel="0" collapsed="false">
      <c r="A2100" s="24" t="n">
        <v>727900</v>
      </c>
      <c r="B2100" s="32" t="s">
        <v>2264</v>
      </c>
    </row>
    <row r="2101" customFormat="false" ht="16.4" hidden="false" customHeight="false" outlineLevel="0" collapsed="false">
      <c r="A2101" s="24" t="n">
        <v>728200</v>
      </c>
      <c r="B2101" s="32" t="s">
        <v>2265</v>
      </c>
    </row>
    <row r="2102" customFormat="false" ht="14.25" hidden="false" customHeight="false" outlineLevel="0" collapsed="false">
      <c r="A2102" s="24" t="n">
        <v>728300</v>
      </c>
      <c r="B2102" s="32" t="s">
        <v>2266</v>
      </c>
    </row>
    <row r="2103" customFormat="false" ht="14.25" hidden="false" customHeight="false" outlineLevel="0" collapsed="false">
      <c r="A2103" s="24" t="n">
        <v>728400</v>
      </c>
      <c r="B2103" s="32" t="s">
        <v>2267</v>
      </c>
    </row>
    <row r="2104" customFormat="false" ht="14.25" hidden="false" customHeight="false" outlineLevel="0" collapsed="false">
      <c r="A2104" s="24" t="n">
        <v>728500</v>
      </c>
      <c r="B2104" s="32" t="s">
        <v>2268</v>
      </c>
    </row>
    <row r="2105" customFormat="false" ht="14.25" hidden="false" customHeight="false" outlineLevel="0" collapsed="false">
      <c r="A2105" s="24" t="n">
        <v>728600</v>
      </c>
      <c r="B2105" s="32" t="s">
        <v>2269</v>
      </c>
    </row>
    <row r="2106" customFormat="false" ht="16.4" hidden="false" customHeight="false" outlineLevel="0" collapsed="false">
      <c r="A2106" s="24" t="n">
        <v>728900</v>
      </c>
      <c r="B2106" s="32" t="s">
        <v>2270</v>
      </c>
    </row>
    <row r="2107" customFormat="false" ht="14.25" hidden="false" customHeight="false" outlineLevel="0" collapsed="false">
      <c r="A2107" s="24" t="n">
        <v>729200</v>
      </c>
      <c r="B2107" s="32" t="s">
        <v>2271</v>
      </c>
    </row>
    <row r="2108" customFormat="false" ht="14.25" hidden="false" customHeight="false" outlineLevel="0" collapsed="false">
      <c r="A2108" s="24" t="n">
        <v>729400</v>
      </c>
      <c r="B2108" s="32" t="s">
        <v>2272</v>
      </c>
    </row>
    <row r="2109" customFormat="false" ht="16.4" hidden="false" customHeight="false" outlineLevel="0" collapsed="false">
      <c r="A2109" s="24" t="n">
        <v>729900</v>
      </c>
      <c r="B2109" s="32" t="s">
        <v>2273</v>
      </c>
    </row>
    <row r="2110" customFormat="false" ht="14.25" hidden="false" customHeight="false" outlineLevel="0" collapsed="false">
      <c r="A2110" s="24" t="n">
        <v>731200</v>
      </c>
      <c r="B2110" s="32" t="s">
        <v>2274</v>
      </c>
    </row>
    <row r="2111" customFormat="false" ht="14.25" hidden="false" customHeight="false" outlineLevel="0" collapsed="false">
      <c r="A2111" s="24" t="n">
        <v>731400</v>
      </c>
      <c r="B2111" s="32" t="s">
        <v>2275</v>
      </c>
    </row>
    <row r="2112" customFormat="false" ht="16.4" hidden="false" customHeight="false" outlineLevel="0" collapsed="false">
      <c r="A2112" s="24" t="n">
        <v>731900</v>
      </c>
      <c r="B2112" s="32" t="s">
        <v>2276</v>
      </c>
    </row>
    <row r="2113" customFormat="false" ht="14.25" hidden="false" customHeight="false" outlineLevel="0" collapsed="false">
      <c r="A2113" s="24" t="n">
        <v>732200</v>
      </c>
      <c r="B2113" s="32" t="s">
        <v>2277</v>
      </c>
    </row>
    <row r="2114" customFormat="false" ht="14.25" hidden="false" customHeight="false" outlineLevel="0" collapsed="false">
      <c r="A2114" s="24" t="n">
        <v>732300</v>
      </c>
      <c r="B2114" s="32" t="s">
        <v>2278</v>
      </c>
    </row>
    <row r="2115" customFormat="false" ht="14.25" hidden="false" customHeight="false" outlineLevel="0" collapsed="false">
      <c r="A2115" s="24" t="n">
        <v>732400</v>
      </c>
      <c r="B2115" s="32" t="s">
        <v>2279</v>
      </c>
    </row>
    <row r="2116" customFormat="false" ht="14.25" hidden="false" customHeight="false" outlineLevel="0" collapsed="false">
      <c r="A2116" s="24" t="n">
        <v>732500</v>
      </c>
      <c r="B2116" s="32" t="s">
        <v>2280</v>
      </c>
    </row>
    <row r="2117" customFormat="false" ht="14.25" hidden="false" customHeight="false" outlineLevel="0" collapsed="false">
      <c r="A2117" s="24" t="n">
        <v>732600</v>
      </c>
      <c r="B2117" s="32" t="s">
        <v>2281</v>
      </c>
    </row>
    <row r="2118" customFormat="false" ht="14.25" hidden="false" customHeight="false" outlineLevel="0" collapsed="false">
      <c r="A2118" s="24" t="n">
        <v>732700</v>
      </c>
      <c r="B2118" s="32" t="s">
        <v>2282</v>
      </c>
    </row>
    <row r="2119" customFormat="false" ht="14.25" hidden="false" customHeight="false" outlineLevel="0" collapsed="false">
      <c r="A2119" s="24" t="n">
        <v>732900</v>
      </c>
      <c r="B2119" s="32" t="s">
        <v>2283</v>
      </c>
    </row>
    <row r="2120" customFormat="false" ht="14.25" hidden="false" customHeight="false" outlineLevel="0" collapsed="false">
      <c r="A2120" s="24" t="n">
        <v>733200</v>
      </c>
      <c r="B2120" s="32" t="s">
        <v>2284</v>
      </c>
    </row>
    <row r="2121" customFormat="false" ht="14.25" hidden="false" customHeight="false" outlineLevel="0" collapsed="false">
      <c r="A2121" s="24" t="n">
        <v>733300</v>
      </c>
      <c r="B2121" s="32" t="s">
        <v>2285</v>
      </c>
    </row>
    <row r="2122" customFormat="false" ht="14.25" hidden="false" customHeight="false" outlineLevel="0" collapsed="false">
      <c r="A2122" s="24" t="n">
        <v>733400</v>
      </c>
      <c r="B2122" s="32" t="s">
        <v>2286</v>
      </c>
    </row>
    <row r="2123" customFormat="false" ht="14.25" hidden="false" customHeight="false" outlineLevel="0" collapsed="false">
      <c r="A2123" s="24" t="n">
        <v>733500</v>
      </c>
      <c r="B2123" s="32" t="s">
        <v>2287</v>
      </c>
    </row>
    <row r="2124" customFormat="false" ht="16.4" hidden="false" customHeight="false" outlineLevel="0" collapsed="false">
      <c r="A2124" s="24" t="n">
        <v>733900</v>
      </c>
      <c r="B2124" s="32" t="s">
        <v>2288</v>
      </c>
    </row>
    <row r="2125" customFormat="false" ht="16.4" hidden="false" customHeight="false" outlineLevel="0" collapsed="false">
      <c r="A2125" s="24" t="n">
        <v>734200</v>
      </c>
      <c r="B2125" s="32" t="s">
        <v>2289</v>
      </c>
    </row>
    <row r="2126" customFormat="false" ht="16.4" hidden="false" customHeight="false" outlineLevel="0" collapsed="false">
      <c r="A2126" s="24" t="n">
        <v>734300</v>
      </c>
      <c r="B2126" s="32" t="s">
        <v>2290</v>
      </c>
    </row>
    <row r="2127" customFormat="false" ht="14.25" hidden="false" customHeight="false" outlineLevel="0" collapsed="false">
      <c r="A2127" s="24" t="n">
        <v>734400</v>
      </c>
      <c r="B2127" s="32" t="s">
        <v>2291</v>
      </c>
    </row>
    <row r="2128" customFormat="false" ht="14.25" hidden="false" customHeight="false" outlineLevel="0" collapsed="false">
      <c r="A2128" s="24" t="n">
        <v>734500</v>
      </c>
      <c r="B2128" s="32" t="s">
        <v>2292</v>
      </c>
    </row>
    <row r="2129" customFormat="false" ht="14.25" hidden="false" customHeight="false" outlineLevel="0" collapsed="false">
      <c r="A2129" s="24" t="n">
        <v>734600</v>
      </c>
      <c r="B2129" s="32" t="s">
        <v>2293</v>
      </c>
    </row>
    <row r="2130" customFormat="false" ht="16.4" hidden="false" customHeight="false" outlineLevel="0" collapsed="false">
      <c r="A2130" s="24" t="n">
        <v>734900</v>
      </c>
      <c r="B2130" s="32" t="s">
        <v>2294</v>
      </c>
    </row>
    <row r="2131" customFormat="false" ht="14.25" hidden="false" customHeight="false" outlineLevel="0" collapsed="false">
      <c r="A2131" s="24" t="n">
        <v>741200</v>
      </c>
      <c r="B2131" s="32" t="s">
        <v>2295</v>
      </c>
    </row>
    <row r="2132" customFormat="false" ht="14.25" hidden="false" customHeight="false" outlineLevel="0" collapsed="false">
      <c r="A2132" s="24" t="n">
        <v>741300</v>
      </c>
      <c r="B2132" s="32" t="s">
        <v>2296</v>
      </c>
    </row>
    <row r="2133" customFormat="false" ht="14.25" hidden="false" customHeight="false" outlineLevel="0" collapsed="false">
      <c r="A2133" s="24" t="n">
        <v>741400</v>
      </c>
      <c r="B2133" s="32" t="s">
        <v>2297</v>
      </c>
    </row>
    <row r="2134" customFormat="false" ht="16.4" hidden="false" customHeight="false" outlineLevel="0" collapsed="false">
      <c r="A2134" s="24" t="n">
        <v>741900</v>
      </c>
      <c r="B2134" s="32" t="s">
        <v>2298</v>
      </c>
    </row>
    <row r="2135" customFormat="false" ht="14.25" hidden="false" customHeight="false" outlineLevel="0" collapsed="false">
      <c r="A2135" s="24" t="n">
        <v>742200</v>
      </c>
      <c r="B2135" s="32" t="s">
        <v>2299</v>
      </c>
    </row>
    <row r="2136" customFormat="false" ht="14.25" hidden="false" customHeight="false" outlineLevel="0" collapsed="false">
      <c r="A2136" s="24" t="n">
        <v>742300</v>
      </c>
      <c r="B2136" s="32" t="s">
        <v>2300</v>
      </c>
    </row>
    <row r="2137" customFormat="false" ht="14.25" hidden="false" customHeight="false" outlineLevel="0" collapsed="false">
      <c r="A2137" s="24" t="n">
        <v>742400</v>
      </c>
      <c r="B2137" s="32" t="s">
        <v>2301</v>
      </c>
    </row>
    <row r="2138" customFormat="false" ht="14.25" hidden="false" customHeight="false" outlineLevel="0" collapsed="false">
      <c r="A2138" s="24" t="n">
        <v>742500</v>
      </c>
      <c r="B2138" s="32" t="s">
        <v>2302</v>
      </c>
    </row>
    <row r="2139" customFormat="false" ht="14.25" hidden="false" customHeight="false" outlineLevel="0" collapsed="false">
      <c r="A2139" s="24" t="n">
        <v>742600</v>
      </c>
      <c r="B2139" s="32" t="s">
        <v>2303</v>
      </c>
    </row>
    <row r="2140" customFormat="false" ht="16.4" hidden="false" customHeight="false" outlineLevel="0" collapsed="false">
      <c r="A2140" s="24" t="n">
        <v>742900</v>
      </c>
      <c r="B2140" s="32" t="s">
        <v>2304</v>
      </c>
    </row>
    <row r="2141" customFormat="false" ht="14.25" hidden="false" customHeight="false" outlineLevel="0" collapsed="false">
      <c r="A2141" s="24" t="n">
        <v>743200</v>
      </c>
      <c r="B2141" s="32" t="s">
        <v>2305</v>
      </c>
    </row>
    <row r="2142" customFormat="false" ht="14.25" hidden="false" customHeight="false" outlineLevel="0" collapsed="false">
      <c r="A2142" s="24" t="n">
        <v>743300</v>
      </c>
      <c r="B2142" s="32" t="s">
        <v>2306</v>
      </c>
    </row>
    <row r="2143" customFormat="false" ht="14.25" hidden="false" customHeight="false" outlineLevel="0" collapsed="false">
      <c r="A2143" s="24" t="n">
        <v>743400</v>
      </c>
      <c r="B2143" s="32" t="s">
        <v>2307</v>
      </c>
    </row>
    <row r="2144" customFormat="false" ht="14.25" hidden="false" customHeight="false" outlineLevel="0" collapsed="false">
      <c r="A2144" s="24" t="n">
        <v>743500</v>
      </c>
      <c r="B2144" s="32" t="s">
        <v>2308</v>
      </c>
    </row>
    <row r="2145" customFormat="false" ht="16.4" hidden="false" customHeight="false" outlineLevel="0" collapsed="false">
      <c r="A2145" s="24" t="n">
        <v>743900</v>
      </c>
      <c r="B2145" s="32" t="s">
        <v>2309</v>
      </c>
    </row>
    <row r="2146" customFormat="false" ht="14.25" hidden="false" customHeight="false" outlineLevel="0" collapsed="false">
      <c r="A2146" s="24" t="n">
        <v>744200</v>
      </c>
      <c r="B2146" s="32" t="s">
        <v>2310</v>
      </c>
    </row>
    <row r="2147" customFormat="false" ht="14.25" hidden="false" customHeight="false" outlineLevel="0" collapsed="false">
      <c r="A2147" s="24" t="n">
        <v>744300</v>
      </c>
      <c r="B2147" s="32" t="s">
        <v>2311</v>
      </c>
    </row>
    <row r="2148" customFormat="false" ht="14.25" hidden="false" customHeight="false" outlineLevel="0" collapsed="false">
      <c r="A2148" s="24" t="n">
        <v>744400</v>
      </c>
      <c r="B2148" s="32" t="s">
        <v>2312</v>
      </c>
    </row>
    <row r="2149" customFormat="false" ht="14.25" hidden="false" customHeight="false" outlineLevel="0" collapsed="false">
      <c r="A2149" s="24" t="n">
        <v>744500</v>
      </c>
      <c r="B2149" s="32" t="s">
        <v>2313</v>
      </c>
    </row>
    <row r="2150" customFormat="false" ht="14.25" hidden="false" customHeight="false" outlineLevel="0" collapsed="false">
      <c r="A2150" s="24" t="n">
        <v>744600</v>
      </c>
      <c r="B2150" s="32" t="s">
        <v>2314</v>
      </c>
    </row>
    <row r="2151" customFormat="false" ht="14.25" hidden="false" customHeight="false" outlineLevel="0" collapsed="false">
      <c r="A2151" s="24" t="n">
        <v>744900</v>
      </c>
      <c r="B2151" s="32" t="s">
        <v>2315</v>
      </c>
    </row>
    <row r="2152" customFormat="false" ht="14.25" hidden="false" customHeight="false" outlineLevel="0" collapsed="false">
      <c r="A2152" s="24" t="n">
        <v>745200</v>
      </c>
      <c r="B2152" s="32" t="s">
        <v>2316</v>
      </c>
    </row>
    <row r="2153" customFormat="false" ht="14.25" hidden="false" customHeight="false" outlineLevel="0" collapsed="false">
      <c r="A2153" s="24" t="n">
        <v>745300</v>
      </c>
      <c r="B2153" s="32" t="s">
        <v>2317</v>
      </c>
    </row>
    <row r="2154" customFormat="false" ht="14.25" hidden="false" customHeight="false" outlineLevel="0" collapsed="false">
      <c r="A2154" s="24" t="n">
        <v>745400</v>
      </c>
      <c r="B2154" s="32" t="s">
        <v>2318</v>
      </c>
    </row>
    <row r="2155" customFormat="false" ht="14.25" hidden="false" customHeight="false" outlineLevel="0" collapsed="false">
      <c r="A2155" s="24" t="n">
        <v>745500</v>
      </c>
      <c r="B2155" s="32" t="s">
        <v>2319</v>
      </c>
    </row>
    <row r="2156" customFormat="false" ht="14.25" hidden="false" customHeight="false" outlineLevel="0" collapsed="false">
      <c r="A2156" s="24" t="n">
        <v>745600</v>
      </c>
      <c r="B2156" s="32" t="s">
        <v>2320</v>
      </c>
    </row>
    <row r="2157" customFormat="false" ht="14.25" hidden="false" customHeight="false" outlineLevel="0" collapsed="false">
      <c r="A2157" s="24" t="n">
        <v>745700</v>
      </c>
      <c r="B2157" s="32" t="s">
        <v>2321</v>
      </c>
    </row>
    <row r="2158" customFormat="false" ht="14.25" hidden="false" customHeight="false" outlineLevel="0" collapsed="false">
      <c r="A2158" s="24" t="n">
        <v>745800</v>
      </c>
      <c r="B2158" s="32" t="s">
        <v>2322</v>
      </c>
    </row>
    <row r="2159" customFormat="false" ht="16.4" hidden="false" customHeight="false" outlineLevel="0" collapsed="false">
      <c r="A2159" s="24" t="n">
        <v>745900</v>
      </c>
      <c r="B2159" s="32" t="s">
        <v>2323</v>
      </c>
    </row>
    <row r="2160" customFormat="false" ht="14.25" hidden="false" customHeight="false" outlineLevel="0" collapsed="false">
      <c r="A2160" s="24" t="n">
        <v>746000</v>
      </c>
      <c r="B2160" s="32" t="s">
        <v>2324</v>
      </c>
    </row>
    <row r="2161" customFormat="false" ht="14.25" hidden="false" customHeight="false" outlineLevel="0" collapsed="false">
      <c r="A2161" s="24" t="n">
        <v>749200</v>
      </c>
      <c r="B2161" s="32" t="s">
        <v>2325</v>
      </c>
    </row>
    <row r="2162" customFormat="false" ht="14.25" hidden="false" customHeight="false" outlineLevel="0" collapsed="false">
      <c r="A2162" s="24" t="n">
        <v>749250</v>
      </c>
      <c r="B2162" s="32" t="s">
        <v>2326</v>
      </c>
    </row>
    <row r="2163" customFormat="false" ht="14.25" hidden="false" customHeight="false" outlineLevel="0" collapsed="false">
      <c r="A2163" s="24" t="n">
        <v>749300</v>
      </c>
      <c r="B2163" s="32" t="s">
        <v>2327</v>
      </c>
    </row>
    <row r="2164" customFormat="false" ht="14.25" hidden="false" customHeight="false" outlineLevel="0" collapsed="false">
      <c r="A2164" s="24" t="n">
        <v>749350</v>
      </c>
      <c r="B2164" s="32" t="s">
        <v>2328</v>
      </c>
    </row>
    <row r="2165" customFormat="false" ht="14.25" hidden="false" customHeight="false" outlineLevel="0" collapsed="false">
      <c r="A2165" s="24" t="n">
        <v>749400</v>
      </c>
      <c r="B2165" s="32" t="s">
        <v>2329</v>
      </c>
    </row>
    <row r="2166" customFormat="false" ht="14.25" hidden="false" customHeight="false" outlineLevel="0" collapsed="false">
      <c r="A2166" s="24" t="n">
        <v>749450</v>
      </c>
      <c r="B2166" s="32" t="s">
        <v>2330</v>
      </c>
    </row>
    <row r="2167" customFormat="false" ht="14.25" hidden="false" customHeight="false" outlineLevel="0" collapsed="false">
      <c r="A2167" s="24" t="n">
        <v>749500</v>
      </c>
      <c r="B2167" s="32" t="s">
        <v>2331</v>
      </c>
    </row>
    <row r="2168" customFormat="false" ht="14.25" hidden="false" customHeight="false" outlineLevel="0" collapsed="false">
      <c r="A2168" s="24" t="n">
        <v>749550</v>
      </c>
      <c r="B2168" s="32" t="s">
        <v>2332</v>
      </c>
    </row>
    <row r="2169" customFormat="false" ht="14.25" hidden="false" customHeight="false" outlineLevel="0" collapsed="false">
      <c r="A2169" s="24" t="n">
        <v>749600</v>
      </c>
      <c r="B2169" s="32" t="s">
        <v>2333</v>
      </c>
    </row>
    <row r="2170" customFormat="false" ht="16.4" hidden="false" customHeight="false" outlineLevel="0" collapsed="false">
      <c r="A2170" s="24" t="n">
        <v>749900</v>
      </c>
      <c r="B2170" s="32" t="s">
        <v>2334</v>
      </c>
    </row>
    <row r="2171" customFormat="false" ht="14.25" hidden="false" customHeight="false" outlineLevel="0" collapsed="false">
      <c r="A2171" s="24" t="n">
        <v>751150</v>
      </c>
      <c r="B2171" s="32" t="s">
        <v>2335</v>
      </c>
    </row>
    <row r="2172" customFormat="false" ht="14.25" hidden="false" customHeight="false" outlineLevel="0" collapsed="false">
      <c r="A2172" s="24" t="n">
        <v>751200</v>
      </c>
      <c r="B2172" s="32" t="s">
        <v>2336</v>
      </c>
    </row>
    <row r="2173" customFormat="false" ht="14.25" hidden="false" customHeight="false" outlineLevel="0" collapsed="false">
      <c r="A2173" s="24" t="n">
        <v>751250</v>
      </c>
      <c r="B2173" s="32" t="s">
        <v>2337</v>
      </c>
    </row>
    <row r="2174" customFormat="false" ht="14.25" hidden="false" customHeight="false" outlineLevel="0" collapsed="false">
      <c r="A2174" s="24" t="n">
        <v>751300</v>
      </c>
      <c r="B2174" s="32" t="s">
        <v>2338</v>
      </c>
    </row>
    <row r="2175" customFormat="false" ht="14.25" hidden="false" customHeight="false" outlineLevel="0" collapsed="false">
      <c r="A2175" s="24" t="n">
        <v>751350</v>
      </c>
      <c r="B2175" s="32" t="s">
        <v>2339</v>
      </c>
    </row>
    <row r="2176" customFormat="false" ht="14.25" hidden="false" customHeight="false" outlineLevel="0" collapsed="false">
      <c r="A2176" s="24" t="n">
        <v>751400</v>
      </c>
      <c r="B2176" s="32" t="s">
        <v>2340</v>
      </c>
    </row>
    <row r="2177" customFormat="false" ht="16.4" hidden="false" customHeight="false" outlineLevel="0" collapsed="false">
      <c r="A2177" s="24" t="n">
        <v>751450</v>
      </c>
      <c r="B2177" s="32" t="s">
        <v>2341</v>
      </c>
    </row>
    <row r="2178" customFormat="false" ht="14.25" hidden="false" customHeight="false" outlineLevel="0" collapsed="false">
      <c r="A2178" s="24" t="n">
        <v>751500</v>
      </c>
      <c r="B2178" s="32" t="s">
        <v>2342</v>
      </c>
    </row>
    <row r="2179" customFormat="false" ht="14.25" hidden="false" customHeight="false" outlineLevel="0" collapsed="false">
      <c r="A2179" s="24" t="n">
        <v>751550</v>
      </c>
      <c r="B2179" s="32" t="s">
        <v>2343</v>
      </c>
    </row>
    <row r="2180" customFormat="false" ht="14.25" hidden="false" customHeight="false" outlineLevel="0" collapsed="false">
      <c r="A2180" s="24" t="n">
        <v>751600</v>
      </c>
      <c r="B2180" s="32" t="s">
        <v>2344</v>
      </c>
    </row>
    <row r="2181" customFormat="false" ht="14.25" hidden="false" customHeight="false" outlineLevel="0" collapsed="false">
      <c r="A2181" s="24" t="n">
        <v>751650</v>
      </c>
      <c r="B2181" s="32" t="s">
        <v>2345</v>
      </c>
    </row>
    <row r="2182" customFormat="false" ht="16.4" hidden="false" customHeight="false" outlineLevel="0" collapsed="false">
      <c r="A2182" s="24" t="n">
        <v>751900</v>
      </c>
      <c r="B2182" s="32" t="s">
        <v>2346</v>
      </c>
    </row>
    <row r="2183" customFormat="false" ht="14.25" hidden="false" customHeight="false" outlineLevel="0" collapsed="false">
      <c r="A2183" s="24" t="n">
        <v>752150</v>
      </c>
      <c r="B2183" s="32" t="s">
        <v>2347</v>
      </c>
    </row>
    <row r="2184" customFormat="false" ht="14.25" hidden="false" customHeight="false" outlineLevel="0" collapsed="false">
      <c r="A2184" s="24" t="n">
        <v>752200</v>
      </c>
      <c r="B2184" s="32" t="s">
        <v>2348</v>
      </c>
    </row>
    <row r="2185" customFormat="false" ht="14.25" hidden="false" customHeight="false" outlineLevel="0" collapsed="false">
      <c r="A2185" s="24" t="n">
        <v>752250</v>
      </c>
      <c r="B2185" s="32" t="s">
        <v>2349</v>
      </c>
    </row>
    <row r="2186" customFormat="false" ht="16.4" hidden="false" customHeight="false" outlineLevel="0" collapsed="false">
      <c r="A2186" s="24" t="n">
        <v>752300</v>
      </c>
      <c r="B2186" s="32" t="s">
        <v>2350</v>
      </c>
    </row>
    <row r="2187" customFormat="false" ht="16.4" hidden="false" customHeight="false" outlineLevel="0" collapsed="false">
      <c r="A2187" s="24" t="n">
        <v>752350</v>
      </c>
      <c r="B2187" s="32" t="s">
        <v>2351</v>
      </c>
    </row>
    <row r="2188" customFormat="false" ht="16.4" hidden="false" customHeight="false" outlineLevel="0" collapsed="false">
      <c r="A2188" s="24" t="n">
        <v>752900</v>
      </c>
      <c r="B2188" s="32" t="s">
        <v>2352</v>
      </c>
    </row>
    <row r="2189" customFormat="false" ht="14.25" hidden="false" customHeight="false" outlineLevel="0" collapsed="false">
      <c r="A2189" s="24" t="n">
        <v>753200</v>
      </c>
      <c r="B2189" s="32" t="s">
        <v>2353</v>
      </c>
    </row>
    <row r="2190" customFormat="false" ht="14.25" hidden="false" customHeight="false" outlineLevel="0" collapsed="false">
      <c r="A2190" s="24" t="n">
        <v>753300</v>
      </c>
      <c r="B2190" s="32" t="s">
        <v>2354</v>
      </c>
    </row>
    <row r="2191" customFormat="false" ht="14.25" hidden="false" customHeight="false" outlineLevel="0" collapsed="false">
      <c r="A2191" s="24" t="n">
        <v>753400</v>
      </c>
      <c r="B2191" s="32" t="s">
        <v>2355</v>
      </c>
    </row>
    <row r="2192" customFormat="false" ht="14.25" hidden="false" customHeight="false" outlineLevel="0" collapsed="false">
      <c r="A2192" s="24" t="n">
        <v>753500</v>
      </c>
      <c r="B2192" s="32" t="s">
        <v>2356</v>
      </c>
    </row>
    <row r="2193" customFormat="false" ht="14.25" hidden="false" customHeight="false" outlineLevel="0" collapsed="false">
      <c r="A2193" s="24" t="n">
        <v>753600</v>
      </c>
      <c r="B2193" s="32" t="s">
        <v>2357</v>
      </c>
    </row>
    <row r="2194" customFormat="false" ht="14.25" hidden="false" customHeight="false" outlineLevel="0" collapsed="false">
      <c r="A2194" s="24" t="n">
        <v>753900</v>
      </c>
      <c r="B2194" s="32" t="s">
        <v>2358</v>
      </c>
    </row>
    <row r="2195" customFormat="false" ht="14.25" hidden="false" customHeight="false" outlineLevel="0" collapsed="false">
      <c r="A2195" s="24" t="n">
        <v>754150</v>
      </c>
      <c r="B2195" s="32" t="s">
        <v>2359</v>
      </c>
    </row>
    <row r="2196" customFormat="false" ht="14.25" hidden="false" customHeight="false" outlineLevel="0" collapsed="false">
      <c r="A2196" s="24" t="n">
        <v>754200</v>
      </c>
      <c r="B2196" s="32" t="s">
        <v>2360</v>
      </c>
    </row>
    <row r="2197" customFormat="false" ht="14.25" hidden="false" customHeight="false" outlineLevel="0" collapsed="false">
      <c r="A2197" s="24" t="n">
        <v>754250</v>
      </c>
      <c r="B2197" s="32" t="s">
        <v>2361</v>
      </c>
    </row>
    <row r="2198" customFormat="false" ht="14.25" hidden="false" customHeight="false" outlineLevel="0" collapsed="false">
      <c r="A2198" s="24" t="n">
        <v>754300</v>
      </c>
      <c r="B2198" s="32" t="s">
        <v>2362</v>
      </c>
    </row>
    <row r="2199" customFormat="false" ht="14.25" hidden="false" customHeight="false" outlineLevel="0" collapsed="false">
      <c r="A2199" s="24" t="n">
        <v>754330</v>
      </c>
      <c r="B2199" s="32" t="s">
        <v>2363</v>
      </c>
    </row>
    <row r="2200" customFormat="false" ht="14.25" hidden="false" customHeight="false" outlineLevel="0" collapsed="false">
      <c r="A2200" s="24" t="n">
        <v>754340</v>
      </c>
      <c r="B2200" s="32" t="s">
        <v>2364</v>
      </c>
    </row>
    <row r="2201" customFormat="false" ht="14.25" hidden="false" customHeight="false" outlineLevel="0" collapsed="false">
      <c r="A2201" s="24" t="n">
        <v>754350</v>
      </c>
      <c r="B2201" s="32" t="s">
        <v>2365</v>
      </c>
    </row>
    <row r="2202" customFormat="false" ht="14.25" hidden="false" customHeight="false" outlineLevel="0" collapsed="false">
      <c r="A2202" s="24" t="n">
        <v>754400</v>
      </c>
      <c r="B2202" s="32" t="s">
        <v>2366</v>
      </c>
    </row>
    <row r="2203" customFormat="false" ht="14.25" hidden="false" customHeight="false" outlineLevel="0" collapsed="false">
      <c r="A2203" s="24" t="n">
        <v>754450</v>
      </c>
      <c r="B2203" s="32" t="s">
        <v>2367</v>
      </c>
    </row>
    <row r="2204" customFormat="false" ht="14.25" hidden="false" customHeight="false" outlineLevel="0" collapsed="false">
      <c r="A2204" s="24" t="n">
        <v>754500</v>
      </c>
      <c r="B2204" s="32" t="s">
        <v>2368</v>
      </c>
    </row>
    <row r="2205" customFormat="false" ht="14.25" hidden="false" customHeight="false" outlineLevel="0" collapsed="false">
      <c r="A2205" s="24" t="n">
        <v>754550</v>
      </c>
      <c r="B2205" s="32" t="s">
        <v>2369</v>
      </c>
    </row>
    <row r="2206" customFormat="false" ht="14.25" hidden="false" customHeight="false" outlineLevel="0" collapsed="false">
      <c r="A2206" s="24" t="n">
        <v>754600</v>
      </c>
      <c r="B2206" s="32" t="s">
        <v>2370</v>
      </c>
    </row>
    <row r="2207" customFormat="false" ht="14.25" hidden="false" customHeight="false" outlineLevel="0" collapsed="false">
      <c r="A2207" s="24" t="n">
        <v>754650</v>
      </c>
      <c r="B2207" s="32" t="s">
        <v>2371</v>
      </c>
    </row>
    <row r="2208" customFormat="false" ht="16.4" hidden="false" customHeight="false" outlineLevel="0" collapsed="false">
      <c r="A2208" s="24" t="n">
        <v>754700</v>
      </c>
      <c r="B2208" s="32" t="s">
        <v>2372</v>
      </c>
    </row>
    <row r="2209" customFormat="false" ht="16.4" hidden="false" customHeight="false" outlineLevel="0" collapsed="false">
      <c r="A2209" s="24" t="n">
        <v>754750</v>
      </c>
      <c r="B2209" s="32" t="s">
        <v>2373</v>
      </c>
    </row>
    <row r="2210" customFormat="false" ht="14.25" hidden="false" customHeight="false" outlineLevel="0" collapsed="false">
      <c r="A2210" s="24" t="n">
        <v>754800</v>
      </c>
      <c r="B2210" s="32" t="s">
        <v>2374</v>
      </c>
    </row>
    <row r="2211" customFormat="false" ht="16.4" hidden="false" customHeight="false" outlineLevel="0" collapsed="false">
      <c r="A2211" s="24" t="n">
        <v>754900</v>
      </c>
      <c r="B2211" s="32" t="s">
        <v>2375</v>
      </c>
    </row>
    <row r="2212" customFormat="false" ht="14.25" hidden="false" customHeight="false" outlineLevel="0" collapsed="false">
      <c r="A2212" s="24" t="n">
        <v>755200</v>
      </c>
      <c r="B2212" s="32" t="s">
        <v>2376</v>
      </c>
    </row>
    <row r="2213" customFormat="false" ht="14.25" hidden="false" customHeight="false" outlineLevel="0" collapsed="false">
      <c r="A2213" s="24" t="n">
        <v>755300</v>
      </c>
      <c r="B2213" s="32" t="s">
        <v>2377</v>
      </c>
    </row>
    <row r="2214" customFormat="false" ht="14.25" hidden="false" customHeight="false" outlineLevel="0" collapsed="false">
      <c r="A2214" s="24" t="n">
        <v>755400</v>
      </c>
      <c r="B2214" s="32" t="s">
        <v>2378</v>
      </c>
    </row>
    <row r="2215" customFormat="false" ht="14.25" hidden="false" customHeight="false" outlineLevel="0" collapsed="false">
      <c r="A2215" s="24" t="n">
        <v>755500</v>
      </c>
      <c r="B2215" s="32" t="s">
        <v>2379</v>
      </c>
    </row>
    <row r="2216" customFormat="false" ht="16.4" hidden="false" customHeight="false" outlineLevel="0" collapsed="false">
      <c r="A2216" s="24" t="n">
        <v>755900</v>
      </c>
      <c r="B2216" s="32" t="s">
        <v>2380</v>
      </c>
    </row>
    <row r="2217" customFormat="false" ht="14.25" hidden="false" customHeight="false" outlineLevel="0" collapsed="false">
      <c r="A2217" s="24" t="n">
        <v>756150</v>
      </c>
      <c r="B2217" s="32" t="s">
        <v>2381</v>
      </c>
    </row>
    <row r="2218" customFormat="false" ht="14.25" hidden="false" customHeight="false" outlineLevel="0" collapsed="false">
      <c r="A2218" s="24" t="n">
        <v>756200</v>
      </c>
      <c r="B2218" s="32" t="s">
        <v>2382</v>
      </c>
    </row>
    <row r="2219" customFormat="false" ht="14.25" hidden="false" customHeight="false" outlineLevel="0" collapsed="false">
      <c r="A2219" s="24" t="n">
        <v>756250</v>
      </c>
      <c r="B2219" s="32" t="s">
        <v>2383</v>
      </c>
    </row>
    <row r="2220" customFormat="false" ht="14.25" hidden="false" customHeight="false" outlineLevel="0" collapsed="false">
      <c r="A2220" s="24" t="n">
        <v>756300</v>
      </c>
      <c r="B2220" s="32" t="s">
        <v>2384</v>
      </c>
    </row>
    <row r="2221" customFormat="false" ht="14.25" hidden="false" customHeight="false" outlineLevel="0" collapsed="false">
      <c r="A2221" s="24" t="n">
        <v>756350</v>
      </c>
      <c r="B2221" s="32" t="s">
        <v>2385</v>
      </c>
    </row>
    <row r="2222" customFormat="false" ht="14.25" hidden="false" customHeight="false" outlineLevel="0" collapsed="false">
      <c r="A2222" s="24" t="n">
        <v>756400</v>
      </c>
      <c r="B2222" s="32" t="s">
        <v>2386</v>
      </c>
    </row>
    <row r="2223" customFormat="false" ht="14.25" hidden="false" customHeight="false" outlineLevel="0" collapsed="false">
      <c r="A2223" s="24" t="n">
        <v>756450</v>
      </c>
      <c r="B2223" s="32" t="s">
        <v>2387</v>
      </c>
    </row>
    <row r="2224" customFormat="false" ht="14.25" hidden="false" customHeight="false" outlineLevel="0" collapsed="false">
      <c r="A2224" s="24" t="n">
        <v>756500</v>
      </c>
      <c r="B2224" s="32" t="s">
        <v>2388</v>
      </c>
    </row>
    <row r="2225" customFormat="false" ht="16.4" hidden="false" customHeight="false" outlineLevel="0" collapsed="false">
      <c r="A2225" s="24" t="n">
        <v>756550</v>
      </c>
      <c r="B2225" s="32" t="s">
        <v>2389</v>
      </c>
    </row>
    <row r="2226" customFormat="false" ht="14.25" hidden="false" customHeight="false" outlineLevel="0" collapsed="false">
      <c r="A2226" s="24" t="n">
        <v>756600</v>
      </c>
      <c r="B2226" s="32" t="s">
        <v>2390</v>
      </c>
    </row>
    <row r="2227" customFormat="false" ht="14.25" hidden="false" customHeight="false" outlineLevel="0" collapsed="false">
      <c r="A2227" s="24" t="n">
        <v>756650</v>
      </c>
      <c r="B2227" s="32" t="s">
        <v>2391</v>
      </c>
    </row>
    <row r="2228" customFormat="false" ht="14.25" hidden="false" customHeight="false" outlineLevel="0" collapsed="false">
      <c r="A2228" s="24" t="n">
        <v>756700</v>
      </c>
      <c r="B2228" s="32" t="s">
        <v>2392</v>
      </c>
    </row>
    <row r="2229" customFormat="false" ht="14.25" hidden="false" customHeight="false" outlineLevel="0" collapsed="false">
      <c r="A2229" s="24" t="n">
        <v>756750</v>
      </c>
      <c r="B2229" s="32" t="s">
        <v>2393</v>
      </c>
    </row>
    <row r="2230" customFormat="false" ht="16.4" hidden="false" customHeight="false" outlineLevel="0" collapsed="false">
      <c r="A2230" s="24" t="n">
        <v>756900</v>
      </c>
      <c r="B2230" s="32" t="s">
        <v>2394</v>
      </c>
    </row>
    <row r="2231" customFormat="false" ht="14.25" hidden="false" customHeight="false" outlineLevel="0" collapsed="false">
      <c r="A2231" s="24" t="n">
        <v>759150</v>
      </c>
      <c r="B2231" s="32" t="s">
        <v>2395</v>
      </c>
    </row>
    <row r="2232" customFormat="false" ht="14.25" hidden="false" customHeight="false" outlineLevel="0" collapsed="false">
      <c r="A2232" s="24" t="n">
        <v>759200</v>
      </c>
      <c r="B2232" s="32" t="s">
        <v>2396</v>
      </c>
    </row>
    <row r="2233" customFormat="false" ht="14.25" hidden="false" customHeight="false" outlineLevel="0" collapsed="false">
      <c r="A2233" s="24" t="n">
        <v>759250</v>
      </c>
      <c r="B2233" s="32" t="s">
        <v>2397</v>
      </c>
    </row>
    <row r="2234" customFormat="false" ht="14.25" hidden="false" customHeight="false" outlineLevel="0" collapsed="false">
      <c r="A2234" s="24" t="n">
        <v>759300</v>
      </c>
      <c r="B2234" s="32" t="s">
        <v>2398</v>
      </c>
    </row>
    <row r="2235" customFormat="false" ht="14.25" hidden="false" customHeight="false" outlineLevel="0" collapsed="false">
      <c r="A2235" s="24" t="n">
        <v>759350</v>
      </c>
      <c r="B2235" s="32" t="s">
        <v>2399</v>
      </c>
    </row>
    <row r="2236" customFormat="false" ht="14.25" hidden="false" customHeight="false" outlineLevel="0" collapsed="false">
      <c r="A2236" s="24" t="n">
        <v>759400</v>
      </c>
      <c r="B2236" s="32" t="s">
        <v>2400</v>
      </c>
    </row>
    <row r="2237" customFormat="false" ht="14.25" hidden="false" customHeight="false" outlineLevel="0" collapsed="false">
      <c r="A2237" s="24" t="n">
        <v>759450</v>
      </c>
      <c r="B2237" s="32" t="s">
        <v>2401</v>
      </c>
    </row>
    <row r="2238" customFormat="false" ht="14.25" hidden="false" customHeight="false" outlineLevel="0" collapsed="false">
      <c r="A2238" s="24" t="n">
        <v>759500</v>
      </c>
      <c r="B2238" s="32" t="s">
        <v>2402</v>
      </c>
    </row>
    <row r="2239" customFormat="false" ht="16.4" hidden="false" customHeight="false" outlineLevel="0" collapsed="false">
      <c r="A2239" s="24" t="n">
        <v>759550</v>
      </c>
      <c r="B2239" s="32" t="s">
        <v>2403</v>
      </c>
    </row>
    <row r="2240" customFormat="false" ht="14.25" hidden="false" customHeight="false" outlineLevel="0" collapsed="false">
      <c r="A2240" s="24" t="n">
        <v>759600</v>
      </c>
      <c r="B2240" s="32" t="s">
        <v>2404</v>
      </c>
    </row>
    <row r="2241" customFormat="false" ht="14.25" hidden="false" customHeight="false" outlineLevel="0" collapsed="false">
      <c r="A2241" s="24" t="n">
        <v>759610</v>
      </c>
      <c r="B2241" s="32" t="s">
        <v>2405</v>
      </c>
    </row>
    <row r="2242" customFormat="false" ht="16.4" hidden="false" customHeight="false" outlineLevel="0" collapsed="false">
      <c r="A2242" s="24" t="n">
        <v>759900</v>
      </c>
      <c r="B2242" s="32" t="s">
        <v>2406</v>
      </c>
    </row>
    <row r="2243" customFormat="false" ht="14.25" hidden="false" customHeight="false" outlineLevel="0" collapsed="false">
      <c r="A2243" s="24" t="n">
        <v>761200</v>
      </c>
      <c r="B2243" s="32" t="s">
        <v>2407</v>
      </c>
    </row>
    <row r="2244" customFormat="false" ht="14.25" hidden="false" customHeight="false" outlineLevel="0" collapsed="false">
      <c r="A2244" s="24" t="n">
        <v>761250</v>
      </c>
      <c r="B2244" s="32" t="s">
        <v>2408</v>
      </c>
    </row>
    <row r="2245" customFormat="false" ht="14.25" hidden="false" customHeight="false" outlineLevel="0" collapsed="false">
      <c r="A2245" s="24" t="n">
        <v>761300</v>
      </c>
      <c r="B2245" s="32" t="s">
        <v>2409</v>
      </c>
    </row>
    <row r="2246" customFormat="false" ht="14.25" hidden="false" customHeight="false" outlineLevel="0" collapsed="false">
      <c r="A2246" s="24" t="n">
        <v>761350</v>
      </c>
      <c r="B2246" s="32" t="s">
        <v>2410</v>
      </c>
    </row>
    <row r="2247" customFormat="false" ht="16.4" hidden="false" customHeight="false" outlineLevel="0" collapsed="false">
      <c r="A2247" s="24" t="n">
        <v>761400</v>
      </c>
      <c r="B2247" s="33" t="s">
        <v>2411</v>
      </c>
    </row>
    <row r="2248" customFormat="false" ht="14.25" hidden="false" customHeight="false" outlineLevel="0" collapsed="false">
      <c r="A2248" s="24" t="n">
        <v>761450</v>
      </c>
      <c r="B2248" s="32" t="s">
        <v>2412</v>
      </c>
    </row>
    <row r="2249" customFormat="false" ht="14.25" hidden="false" customHeight="false" outlineLevel="0" collapsed="false">
      <c r="A2249" s="24" t="n">
        <v>761500</v>
      </c>
      <c r="B2249" s="32" t="s">
        <v>2413</v>
      </c>
    </row>
    <row r="2250" customFormat="false" ht="14.25" hidden="false" customHeight="false" outlineLevel="0" collapsed="false">
      <c r="A2250" s="24" t="n">
        <v>761550</v>
      </c>
      <c r="B2250" s="32" t="s">
        <v>2414</v>
      </c>
    </row>
    <row r="2251" customFormat="false" ht="14.25" hidden="false" customHeight="false" outlineLevel="0" collapsed="false">
      <c r="A2251" s="24" t="n">
        <v>761900</v>
      </c>
      <c r="B2251" s="32" t="s">
        <v>2415</v>
      </c>
    </row>
    <row r="2252" customFormat="false" ht="14.25" hidden="false" customHeight="false" outlineLevel="0" collapsed="false">
      <c r="A2252" s="24" t="n">
        <v>762100</v>
      </c>
      <c r="B2252" s="32" t="s">
        <v>2416</v>
      </c>
    </row>
    <row r="2253" customFormat="false" ht="14.25" hidden="false" customHeight="false" outlineLevel="0" collapsed="false">
      <c r="A2253" s="24" t="n">
        <v>771200</v>
      </c>
      <c r="B2253" s="32" t="s">
        <v>2417</v>
      </c>
    </row>
    <row r="2254" customFormat="false" ht="14.25" hidden="false" customHeight="false" outlineLevel="0" collapsed="false">
      <c r="A2254" s="24" t="n">
        <v>771300</v>
      </c>
      <c r="B2254" s="32" t="s">
        <v>2418</v>
      </c>
    </row>
    <row r="2255" customFormat="false" ht="14.25" hidden="false" customHeight="false" outlineLevel="0" collapsed="false">
      <c r="A2255" s="24" t="n">
        <v>771400</v>
      </c>
      <c r="B2255" s="32" t="s">
        <v>2419</v>
      </c>
    </row>
    <row r="2256" customFormat="false" ht="14.25" hidden="false" customHeight="false" outlineLevel="0" collapsed="false">
      <c r="A2256" s="24" t="n">
        <v>771500</v>
      </c>
      <c r="B2256" s="32" t="s">
        <v>2420</v>
      </c>
    </row>
    <row r="2257" customFormat="false" ht="16.4" hidden="false" customHeight="false" outlineLevel="0" collapsed="false">
      <c r="A2257" s="24" t="n">
        <v>771600</v>
      </c>
      <c r="B2257" s="32" t="s">
        <v>2421</v>
      </c>
    </row>
    <row r="2258" customFormat="false" ht="14.25" hidden="false" customHeight="false" outlineLevel="0" collapsed="false">
      <c r="A2258" s="24" t="n">
        <v>771700</v>
      </c>
      <c r="B2258" s="32" t="s">
        <v>2422</v>
      </c>
    </row>
    <row r="2259" customFormat="false" ht="16.4" hidden="false" customHeight="false" outlineLevel="0" collapsed="false">
      <c r="A2259" s="24" t="n">
        <v>771900</v>
      </c>
      <c r="B2259" s="32" t="s">
        <v>2423</v>
      </c>
    </row>
    <row r="2260" customFormat="false" ht="14.25" hidden="false" customHeight="false" outlineLevel="0" collapsed="false">
      <c r="A2260" s="24" t="n">
        <v>772200</v>
      </c>
      <c r="B2260" s="32" t="s">
        <v>2424</v>
      </c>
    </row>
    <row r="2261" customFormat="false" ht="14.25" hidden="false" customHeight="false" outlineLevel="0" collapsed="false">
      <c r="A2261" s="24" t="n">
        <v>772300</v>
      </c>
      <c r="B2261" s="32" t="s">
        <v>2425</v>
      </c>
    </row>
    <row r="2262" customFormat="false" ht="14.25" hidden="false" customHeight="false" outlineLevel="0" collapsed="false">
      <c r="A2262" s="24" t="n">
        <v>772400</v>
      </c>
      <c r="B2262" s="32" t="s">
        <v>2426</v>
      </c>
    </row>
    <row r="2263" customFormat="false" ht="14.25" hidden="false" customHeight="false" outlineLevel="0" collapsed="false">
      <c r="A2263" s="24" t="n">
        <v>772500</v>
      </c>
      <c r="B2263" s="32" t="s">
        <v>2427</v>
      </c>
    </row>
    <row r="2264" customFormat="false" ht="16.4" hidden="false" customHeight="false" outlineLevel="0" collapsed="false">
      <c r="A2264" s="24" t="n">
        <v>772900</v>
      </c>
      <c r="B2264" s="32" t="s">
        <v>2428</v>
      </c>
    </row>
    <row r="2265" customFormat="false" ht="16.4" hidden="false" customHeight="false" outlineLevel="0" collapsed="false">
      <c r="A2265" s="24" t="n">
        <v>773100</v>
      </c>
      <c r="B2265" s="32" t="s">
        <v>2429</v>
      </c>
    </row>
    <row r="2266" customFormat="false" ht="16.4" hidden="false" customHeight="false" outlineLevel="0" collapsed="false">
      <c r="A2266" s="24" t="n">
        <v>773200</v>
      </c>
      <c r="B2266" s="32" t="s">
        <v>2430</v>
      </c>
    </row>
    <row r="2267" customFormat="false" ht="16.4" hidden="false" customHeight="false" outlineLevel="0" collapsed="false">
      <c r="A2267" s="24" t="n">
        <v>773300</v>
      </c>
      <c r="B2267" s="32" t="s">
        <v>2431</v>
      </c>
    </row>
    <row r="2268" customFormat="false" ht="16.4" hidden="false" customHeight="false" outlineLevel="0" collapsed="false">
      <c r="A2268" s="24" t="n">
        <v>773900</v>
      </c>
      <c r="B2268" s="32" t="s">
        <v>2432</v>
      </c>
    </row>
    <row r="2269" customFormat="false" ht="16.4" hidden="false" customHeight="false" outlineLevel="0" collapsed="false">
      <c r="A2269" s="24" t="n">
        <v>774100</v>
      </c>
      <c r="B2269" s="32" t="s">
        <v>2433</v>
      </c>
    </row>
    <row r="2270" customFormat="false" ht="14.25" hidden="false" customHeight="false" outlineLevel="0" collapsed="false">
      <c r="A2270" s="24" t="n">
        <v>774150</v>
      </c>
      <c r="B2270" s="32" t="s">
        <v>2434</v>
      </c>
    </row>
    <row r="2271" customFormat="false" ht="14.25" hidden="false" customHeight="false" outlineLevel="0" collapsed="false">
      <c r="A2271" s="24" t="n">
        <v>774200</v>
      </c>
      <c r="B2271" s="32" t="s">
        <v>2435</v>
      </c>
    </row>
    <row r="2272" customFormat="false" ht="14.25" hidden="false" customHeight="false" outlineLevel="0" collapsed="false">
      <c r="A2272" s="24" t="n">
        <v>774250</v>
      </c>
      <c r="B2272" s="32" t="s">
        <v>2436</v>
      </c>
    </row>
    <row r="2273" customFormat="false" ht="14.25" hidden="false" customHeight="false" outlineLevel="0" collapsed="false">
      <c r="A2273" s="24" t="n">
        <v>774300</v>
      </c>
      <c r="B2273" s="32" t="s">
        <v>2437</v>
      </c>
    </row>
    <row r="2274" customFormat="false" ht="14.25" hidden="false" customHeight="false" outlineLevel="0" collapsed="false">
      <c r="A2274" s="24" t="n">
        <v>774350</v>
      </c>
      <c r="B2274" s="32" t="s">
        <v>2438</v>
      </c>
    </row>
    <row r="2275" customFormat="false" ht="14.25" hidden="false" customHeight="false" outlineLevel="0" collapsed="false">
      <c r="A2275" s="24" t="n">
        <v>774400</v>
      </c>
      <c r="B2275" s="32" t="s">
        <v>2439</v>
      </c>
    </row>
    <row r="2276" customFormat="false" ht="14.25" hidden="false" customHeight="false" outlineLevel="0" collapsed="false">
      <c r="A2276" s="24" t="n">
        <v>774450</v>
      </c>
      <c r="B2276" s="32" t="s">
        <v>2440</v>
      </c>
    </row>
    <row r="2277" customFormat="false" ht="14.25" hidden="false" customHeight="false" outlineLevel="0" collapsed="false">
      <c r="A2277" s="24" t="n">
        <v>774500</v>
      </c>
      <c r="B2277" s="32" t="s">
        <v>2441</v>
      </c>
    </row>
    <row r="2278" customFormat="false" ht="14.25" hidden="false" customHeight="false" outlineLevel="0" collapsed="false">
      <c r="A2278" s="24" t="n">
        <v>774550</v>
      </c>
      <c r="B2278" s="32" t="s">
        <v>2442</v>
      </c>
    </row>
    <row r="2279" customFormat="false" ht="14.25" hidden="false" customHeight="false" outlineLevel="0" collapsed="false">
      <c r="A2279" s="24" t="n">
        <v>774600</v>
      </c>
      <c r="B2279" s="32" t="s">
        <v>2443</v>
      </c>
    </row>
    <row r="2280" customFormat="false" ht="16.4" hidden="false" customHeight="false" outlineLevel="0" collapsed="false">
      <c r="A2280" s="24" t="n">
        <v>774900</v>
      </c>
      <c r="B2280" s="32" t="s">
        <v>2444</v>
      </c>
    </row>
    <row r="2281" customFormat="false" ht="16.4" hidden="false" customHeight="false" outlineLevel="0" collapsed="false">
      <c r="A2281" s="24" t="n">
        <v>775100</v>
      </c>
      <c r="B2281" s="32" t="s">
        <v>2445</v>
      </c>
    </row>
    <row r="2282" customFormat="false" ht="14.25" hidden="false" customHeight="false" outlineLevel="0" collapsed="false">
      <c r="A2282" s="24" t="n">
        <v>775200</v>
      </c>
      <c r="B2282" s="32" t="s">
        <v>2446</v>
      </c>
    </row>
    <row r="2283" customFormat="false" ht="14.25" hidden="false" customHeight="false" outlineLevel="0" collapsed="false">
      <c r="A2283" s="24" t="n">
        <v>775300</v>
      </c>
      <c r="B2283" s="32" t="s">
        <v>2447</v>
      </c>
    </row>
    <row r="2284" customFormat="false" ht="14.25" hidden="false" customHeight="false" outlineLevel="0" collapsed="false">
      <c r="A2284" s="24" t="n">
        <v>775400</v>
      </c>
      <c r="B2284" s="32" t="s">
        <v>2448</v>
      </c>
    </row>
    <row r="2285" customFormat="false" ht="16.4" hidden="false" customHeight="false" outlineLevel="0" collapsed="false">
      <c r="A2285" s="24" t="n">
        <v>775500</v>
      </c>
      <c r="B2285" s="33" t="s">
        <v>2449</v>
      </c>
    </row>
    <row r="2286" customFormat="false" ht="16.4" hidden="false" customHeight="false" outlineLevel="0" collapsed="false">
      <c r="A2286" s="24" t="n">
        <v>775900</v>
      </c>
      <c r="B2286" s="32" t="s">
        <v>2450</v>
      </c>
    </row>
    <row r="2287" customFormat="false" ht="16.4" hidden="false" customHeight="false" outlineLevel="0" collapsed="false">
      <c r="A2287" s="24" t="n">
        <v>776100</v>
      </c>
      <c r="B2287" s="32" t="s">
        <v>2451</v>
      </c>
    </row>
    <row r="2288" customFormat="false" ht="14.25" hidden="false" customHeight="false" outlineLevel="0" collapsed="false">
      <c r="A2288" s="24" t="n">
        <v>776110</v>
      </c>
      <c r="B2288" s="32" t="s">
        <v>2452</v>
      </c>
    </row>
    <row r="2289" customFormat="false" ht="14.25" hidden="false" customHeight="false" outlineLevel="0" collapsed="false">
      <c r="A2289" s="24" t="n">
        <v>776120</v>
      </c>
      <c r="B2289" s="32" t="s">
        <v>2453</v>
      </c>
    </row>
    <row r="2290" customFormat="false" ht="14.25" hidden="false" customHeight="false" outlineLevel="0" collapsed="false">
      <c r="A2290" s="24" t="n">
        <v>776130</v>
      </c>
      <c r="B2290" s="32" t="s">
        <v>2454</v>
      </c>
    </row>
    <row r="2291" customFormat="false" ht="14.25" hidden="false" customHeight="false" outlineLevel="0" collapsed="false">
      <c r="A2291" s="24" t="n">
        <v>776140</v>
      </c>
      <c r="B2291" s="32" t="s">
        <v>2455</v>
      </c>
    </row>
    <row r="2292" customFormat="false" ht="14.25" hidden="false" customHeight="false" outlineLevel="0" collapsed="false">
      <c r="A2292" s="24" t="n">
        <v>776150</v>
      </c>
      <c r="B2292" s="32" t="s">
        <v>2456</v>
      </c>
    </row>
    <row r="2293" customFormat="false" ht="14.25" hidden="false" customHeight="false" outlineLevel="0" collapsed="false">
      <c r="A2293" s="24" t="n">
        <v>776160</v>
      </c>
      <c r="B2293" s="32" t="s">
        <v>2457</v>
      </c>
    </row>
    <row r="2294" customFormat="false" ht="14.25" hidden="false" customHeight="false" outlineLevel="0" collapsed="false">
      <c r="A2294" s="24" t="n">
        <v>776200</v>
      </c>
      <c r="B2294" s="32" t="s">
        <v>2458</v>
      </c>
    </row>
    <row r="2295" customFormat="false" ht="16.4" hidden="false" customHeight="false" outlineLevel="0" collapsed="false">
      <c r="A2295" s="24" t="n">
        <v>776250</v>
      </c>
      <c r="B2295" s="32" t="s">
        <v>2459</v>
      </c>
    </row>
    <row r="2296" customFormat="false" ht="14.25" hidden="false" customHeight="false" outlineLevel="0" collapsed="false">
      <c r="A2296" s="24" t="n">
        <v>776300</v>
      </c>
      <c r="B2296" s="32" t="s">
        <v>2460</v>
      </c>
    </row>
    <row r="2297" customFormat="false" ht="14.25" hidden="false" customHeight="false" outlineLevel="0" collapsed="false">
      <c r="A2297" s="24" t="n">
        <v>776350</v>
      </c>
      <c r="B2297" s="32" t="s">
        <v>2461</v>
      </c>
    </row>
    <row r="2298" customFormat="false" ht="14.25" hidden="false" customHeight="false" outlineLevel="0" collapsed="false">
      <c r="A2298" s="24" t="n">
        <v>776400</v>
      </c>
      <c r="B2298" s="32" t="s">
        <v>2462</v>
      </c>
    </row>
    <row r="2299" customFormat="false" ht="14.25" hidden="false" customHeight="false" outlineLevel="0" collapsed="false">
      <c r="A2299" s="24" t="n">
        <v>776450</v>
      </c>
      <c r="B2299" s="32" t="s">
        <v>2463</v>
      </c>
    </row>
    <row r="2300" customFormat="false" ht="14.25" hidden="false" customHeight="false" outlineLevel="0" collapsed="false">
      <c r="A2300" s="24" t="n">
        <v>776500</v>
      </c>
      <c r="B2300" s="32" t="s">
        <v>2464</v>
      </c>
    </row>
    <row r="2301" customFormat="false" ht="14.25" hidden="false" customHeight="false" outlineLevel="0" collapsed="false">
      <c r="A2301" s="24" t="n">
        <v>776550</v>
      </c>
      <c r="B2301" s="32" t="s">
        <v>2465</v>
      </c>
    </row>
    <row r="2302" customFormat="false" ht="14.25" hidden="false" customHeight="false" outlineLevel="0" collapsed="false">
      <c r="A2302" s="24" t="n">
        <v>776600</v>
      </c>
      <c r="B2302" s="32" t="s">
        <v>2466</v>
      </c>
    </row>
    <row r="2303" customFormat="false" ht="14.25" hidden="false" customHeight="false" outlineLevel="0" collapsed="false">
      <c r="A2303" s="24" t="n">
        <v>776900</v>
      </c>
      <c r="B2303" s="32" t="s">
        <v>2467</v>
      </c>
    </row>
    <row r="2304" customFormat="false" ht="14.25" hidden="false" customHeight="false" outlineLevel="0" collapsed="false">
      <c r="A2304" s="24" t="n">
        <v>777200</v>
      </c>
      <c r="B2304" s="32" t="s">
        <v>2468</v>
      </c>
    </row>
    <row r="2305" customFormat="false" ht="16.4" hidden="false" customHeight="false" outlineLevel="0" collapsed="false">
      <c r="A2305" s="24" t="n">
        <v>778100</v>
      </c>
      <c r="B2305" s="32" t="s">
        <v>2469</v>
      </c>
    </row>
    <row r="2306" customFormat="false" ht="14.25" hidden="false" customHeight="false" outlineLevel="0" collapsed="false">
      <c r="A2306" s="24" t="n">
        <v>778200</v>
      </c>
      <c r="B2306" s="32" t="s">
        <v>2470</v>
      </c>
    </row>
    <row r="2307" customFormat="false" ht="14.25" hidden="false" customHeight="false" outlineLevel="0" collapsed="false">
      <c r="A2307" s="24" t="n">
        <v>778300</v>
      </c>
      <c r="B2307" s="32" t="s">
        <v>2471</v>
      </c>
    </row>
    <row r="2308" customFormat="false" ht="14.25" hidden="false" customHeight="false" outlineLevel="0" collapsed="false">
      <c r="A2308" s="24" t="n">
        <v>778400</v>
      </c>
      <c r="B2308" s="32" t="s">
        <v>2472</v>
      </c>
    </row>
    <row r="2309" customFormat="false" ht="14.25" hidden="false" customHeight="false" outlineLevel="0" collapsed="false">
      <c r="A2309" s="24" t="n">
        <v>778500</v>
      </c>
      <c r="B2309" s="32" t="s">
        <v>2473</v>
      </c>
    </row>
    <row r="2310" customFormat="false" ht="14.25" hidden="false" customHeight="false" outlineLevel="0" collapsed="false">
      <c r="A2310" s="24" t="n">
        <v>778600</v>
      </c>
      <c r="B2310" s="32" t="s">
        <v>2474</v>
      </c>
    </row>
    <row r="2311" customFormat="false" ht="14.25" hidden="false" customHeight="false" outlineLevel="0" collapsed="false">
      <c r="A2311" s="24" t="n">
        <v>778700</v>
      </c>
      <c r="B2311" s="32" t="s">
        <v>2475</v>
      </c>
    </row>
    <row r="2312" customFormat="false" ht="14.25" hidden="false" customHeight="false" outlineLevel="0" collapsed="false">
      <c r="A2312" s="24" t="n">
        <v>778800</v>
      </c>
      <c r="B2312" s="32" t="s">
        <v>2476</v>
      </c>
    </row>
    <row r="2313" customFormat="false" ht="14.25" hidden="false" customHeight="false" outlineLevel="0" collapsed="false">
      <c r="A2313" s="24" t="n">
        <v>778900</v>
      </c>
      <c r="B2313" s="32" t="s">
        <v>2477</v>
      </c>
    </row>
    <row r="2314" customFormat="false" ht="14.25" hidden="false" customHeight="false" outlineLevel="0" collapsed="false">
      <c r="A2314" s="24" t="n">
        <v>779200</v>
      </c>
      <c r="B2314" s="32" t="s">
        <v>2478</v>
      </c>
    </row>
    <row r="2315" customFormat="false" ht="14.25" hidden="false" customHeight="false" outlineLevel="0" collapsed="false">
      <c r="A2315" s="24" t="n">
        <v>779250</v>
      </c>
      <c r="B2315" s="32" t="s">
        <v>2479</v>
      </c>
    </row>
    <row r="2316" customFormat="false" ht="14.25" hidden="false" customHeight="false" outlineLevel="0" collapsed="false">
      <c r="A2316" s="24" t="n">
        <v>779300</v>
      </c>
      <c r="B2316" s="32" t="s">
        <v>2480</v>
      </c>
    </row>
    <row r="2317" customFormat="false" ht="14.25" hidden="false" customHeight="false" outlineLevel="0" collapsed="false">
      <c r="A2317" s="24" t="n">
        <v>779350</v>
      </c>
      <c r="B2317" s="32" t="s">
        <v>2481</v>
      </c>
    </row>
    <row r="2318" customFormat="false" ht="14.25" hidden="false" customHeight="false" outlineLevel="0" collapsed="false">
      <c r="A2318" s="24" t="n">
        <v>779400</v>
      </c>
      <c r="B2318" s="32" t="s">
        <v>2482</v>
      </c>
    </row>
    <row r="2319" customFormat="false" ht="14.25" hidden="false" customHeight="false" outlineLevel="0" collapsed="false">
      <c r="A2319" s="24" t="n">
        <v>779450</v>
      </c>
      <c r="B2319" s="32" t="s">
        <v>2483</v>
      </c>
    </row>
    <row r="2320" customFormat="false" ht="14.25" hidden="false" customHeight="false" outlineLevel="0" collapsed="false">
      <c r="A2320" s="24" t="n">
        <v>779900</v>
      </c>
      <c r="B2320" s="32" t="s">
        <v>2484</v>
      </c>
    </row>
    <row r="2321" customFormat="false" ht="14.25" hidden="false" customHeight="false" outlineLevel="0" collapsed="false">
      <c r="A2321" s="24" t="n">
        <v>781200</v>
      </c>
      <c r="B2321" s="32" t="s">
        <v>2485</v>
      </c>
    </row>
    <row r="2322" customFormat="false" ht="16.4" hidden="false" customHeight="false" outlineLevel="0" collapsed="false">
      <c r="A2322" s="24" t="n">
        <v>781300</v>
      </c>
      <c r="B2322" s="32" t="s">
        <v>2486</v>
      </c>
    </row>
    <row r="2323" customFormat="false" ht="14.25" hidden="false" customHeight="false" outlineLevel="0" collapsed="false">
      <c r="A2323" s="24" t="n">
        <v>781400</v>
      </c>
      <c r="B2323" s="32" t="s">
        <v>2487</v>
      </c>
    </row>
    <row r="2324" customFormat="false" ht="14.25" hidden="false" customHeight="false" outlineLevel="0" collapsed="false">
      <c r="A2324" s="24" t="n">
        <v>781500</v>
      </c>
      <c r="B2324" s="32" t="s">
        <v>2488</v>
      </c>
    </row>
    <row r="2325" customFormat="false" ht="14.25" hidden="false" customHeight="false" outlineLevel="0" collapsed="false">
      <c r="A2325" s="24" t="n">
        <v>781600</v>
      </c>
      <c r="B2325" s="32" t="s">
        <v>2489</v>
      </c>
    </row>
    <row r="2326" customFormat="false" ht="14.25" hidden="false" customHeight="false" outlineLevel="0" collapsed="false">
      <c r="A2326" s="24" t="n">
        <v>781700</v>
      </c>
      <c r="B2326" s="32" t="s">
        <v>2490</v>
      </c>
    </row>
    <row r="2327" customFormat="false" ht="16.4" hidden="false" customHeight="false" outlineLevel="0" collapsed="false">
      <c r="A2327" s="24" t="n">
        <v>781900</v>
      </c>
      <c r="B2327" s="32" t="s">
        <v>2491</v>
      </c>
    </row>
    <row r="2328" customFormat="false" ht="14.25" hidden="false" customHeight="false" outlineLevel="0" collapsed="false">
      <c r="A2328" s="24" t="n">
        <v>782200</v>
      </c>
      <c r="B2328" s="32" t="s">
        <v>2492</v>
      </c>
    </row>
    <row r="2329" customFormat="false" ht="14.25" hidden="false" customHeight="false" outlineLevel="0" collapsed="false">
      <c r="A2329" s="24" t="n">
        <v>782400</v>
      </c>
      <c r="B2329" s="32" t="s">
        <v>2493</v>
      </c>
    </row>
    <row r="2330" customFormat="false" ht="16.4" hidden="false" customHeight="false" outlineLevel="0" collapsed="false">
      <c r="A2330" s="24" t="n">
        <v>782900</v>
      </c>
      <c r="B2330" s="32" t="s">
        <v>2494</v>
      </c>
    </row>
    <row r="2331" customFormat="false" ht="14.25" hidden="false" customHeight="false" outlineLevel="0" collapsed="false">
      <c r="A2331" s="24" t="n">
        <v>783200</v>
      </c>
      <c r="B2331" s="32" t="s">
        <v>2495</v>
      </c>
    </row>
    <row r="2332" customFormat="false" ht="14.25" hidden="false" customHeight="false" outlineLevel="0" collapsed="false">
      <c r="A2332" s="24" t="n">
        <v>783400</v>
      </c>
      <c r="B2332" s="32" t="s">
        <v>2496</v>
      </c>
    </row>
    <row r="2333" customFormat="false" ht="16.4" hidden="false" customHeight="false" outlineLevel="0" collapsed="false">
      <c r="A2333" s="24" t="n">
        <v>783900</v>
      </c>
      <c r="B2333" s="32" t="s">
        <v>2494</v>
      </c>
    </row>
    <row r="2334" customFormat="false" ht="14.25" hidden="false" customHeight="false" outlineLevel="0" collapsed="false">
      <c r="A2334" s="24" t="n">
        <v>789200</v>
      </c>
      <c r="B2334" s="32" t="s">
        <v>2497</v>
      </c>
    </row>
    <row r="2335" customFormat="false" ht="14.25" hidden="false" customHeight="false" outlineLevel="0" collapsed="false">
      <c r="A2335" s="24" t="n">
        <v>789400</v>
      </c>
      <c r="B2335" s="32" t="s">
        <v>2498</v>
      </c>
    </row>
    <row r="2336" customFormat="false" ht="16.4" hidden="false" customHeight="false" outlineLevel="0" collapsed="false">
      <c r="A2336" s="24" t="n">
        <v>789900</v>
      </c>
      <c r="B2336" s="32" t="s">
        <v>2499</v>
      </c>
    </row>
    <row r="2337" customFormat="false" ht="16.4" hidden="false" customHeight="false" outlineLevel="0" collapsed="false">
      <c r="A2337" s="24" t="n">
        <v>791150</v>
      </c>
      <c r="B2337" s="33" t="s">
        <v>2500</v>
      </c>
    </row>
    <row r="2338" customFormat="false" ht="14.25" hidden="false" customHeight="false" outlineLevel="0" collapsed="false">
      <c r="A2338" s="24" t="n">
        <v>791200</v>
      </c>
      <c r="B2338" s="32" t="s">
        <v>2501</v>
      </c>
    </row>
    <row r="2339" customFormat="false" ht="14.25" hidden="false" customHeight="false" outlineLevel="0" collapsed="false">
      <c r="A2339" s="24" t="n">
        <v>791250</v>
      </c>
      <c r="B2339" s="32" t="s">
        <v>2502</v>
      </c>
    </row>
    <row r="2340" customFormat="false" ht="14.25" hidden="false" customHeight="false" outlineLevel="0" collapsed="false">
      <c r="A2340" s="24" t="n">
        <v>791300</v>
      </c>
      <c r="B2340" s="32" t="s">
        <v>2503</v>
      </c>
    </row>
    <row r="2341" customFormat="false" ht="14.25" hidden="false" customHeight="false" outlineLevel="0" collapsed="false">
      <c r="A2341" s="24" t="n">
        <v>791350</v>
      </c>
      <c r="B2341" s="32" t="s">
        <v>2504</v>
      </c>
    </row>
    <row r="2342" customFormat="false" ht="14.25" hidden="false" customHeight="false" outlineLevel="0" collapsed="false">
      <c r="A2342" s="24" t="n">
        <v>791400</v>
      </c>
      <c r="B2342" s="32" t="s">
        <v>2505</v>
      </c>
    </row>
    <row r="2343" customFormat="false" ht="16.4" hidden="false" customHeight="false" outlineLevel="0" collapsed="false">
      <c r="A2343" s="24" t="n">
        <v>791450</v>
      </c>
      <c r="B2343" s="33" t="s">
        <v>2506</v>
      </c>
    </row>
    <row r="2344" customFormat="false" ht="16.4" hidden="false" customHeight="false" outlineLevel="0" collapsed="false">
      <c r="A2344" s="24" t="n">
        <v>791900</v>
      </c>
      <c r="B2344" s="32" t="s">
        <v>2507</v>
      </c>
    </row>
    <row r="2345" customFormat="false" ht="14.25" hidden="false" customHeight="false" outlineLevel="0" collapsed="false">
      <c r="A2345" s="24" t="n">
        <v>792100</v>
      </c>
      <c r="B2345" s="32" t="s">
        <v>2508</v>
      </c>
    </row>
    <row r="2346" customFormat="false" ht="16.4" hidden="false" customHeight="false" outlineLevel="0" collapsed="false">
      <c r="A2346" s="24" t="n">
        <v>792900</v>
      </c>
      <c r="B2346" s="32" t="s">
        <v>2509</v>
      </c>
    </row>
    <row r="2347" customFormat="false" ht="16.4" hidden="false" customHeight="false" outlineLevel="0" collapsed="false">
      <c r="A2347" s="24" t="n">
        <v>793100</v>
      </c>
      <c r="B2347" s="32" t="s">
        <v>2510</v>
      </c>
    </row>
    <row r="2348" customFormat="false" ht="14.25" hidden="false" customHeight="false" outlineLevel="0" collapsed="false">
      <c r="A2348" s="24" t="n">
        <v>793200</v>
      </c>
      <c r="B2348" s="32" t="s">
        <v>2511</v>
      </c>
    </row>
    <row r="2349" customFormat="false" ht="14.25" hidden="false" customHeight="false" outlineLevel="0" collapsed="false">
      <c r="A2349" s="24" t="n">
        <v>793300</v>
      </c>
      <c r="B2349" s="32" t="s">
        <v>2512</v>
      </c>
    </row>
    <row r="2350" customFormat="false" ht="16.4" hidden="false" customHeight="false" outlineLevel="0" collapsed="false">
      <c r="A2350" s="24" t="n">
        <v>793400</v>
      </c>
      <c r="B2350" s="33" t="s">
        <v>2513</v>
      </c>
    </row>
    <row r="2351" customFormat="false" ht="16.4" hidden="false" customHeight="false" outlineLevel="0" collapsed="false">
      <c r="A2351" s="24" t="n">
        <v>793900</v>
      </c>
      <c r="B2351" s="32" t="s">
        <v>2514</v>
      </c>
    </row>
    <row r="2352" customFormat="false" ht="16.4" hidden="false" customHeight="false" outlineLevel="0" collapsed="false">
      <c r="A2352" s="24" t="n">
        <v>794200</v>
      </c>
      <c r="B2352" s="32" t="s">
        <v>2515</v>
      </c>
    </row>
    <row r="2353" customFormat="false" ht="16.4" hidden="false" customHeight="false" outlineLevel="0" collapsed="false">
      <c r="A2353" s="24" t="n">
        <v>794300</v>
      </c>
      <c r="B2353" s="32" t="s">
        <v>2516</v>
      </c>
    </row>
    <row r="2354" customFormat="false" ht="14.25" hidden="false" customHeight="false" outlineLevel="0" collapsed="false">
      <c r="A2354" s="24" t="n">
        <v>794400</v>
      </c>
      <c r="B2354" s="32" t="s">
        <v>2517</v>
      </c>
    </row>
    <row r="2355" customFormat="false" ht="16.4" hidden="false" customHeight="false" outlineLevel="0" collapsed="false">
      <c r="A2355" s="24" t="n">
        <v>794500</v>
      </c>
      <c r="B2355" s="33" t="s">
        <v>2518</v>
      </c>
    </row>
    <row r="2356" customFormat="false" ht="14.25" hidden="false" customHeight="false" outlineLevel="0" collapsed="false">
      <c r="A2356" s="24" t="n">
        <v>794600</v>
      </c>
      <c r="B2356" s="32" t="s">
        <v>2519</v>
      </c>
    </row>
    <row r="2357" customFormat="false" ht="16.4" hidden="false" customHeight="false" outlineLevel="0" collapsed="false">
      <c r="A2357" s="24" t="n">
        <v>794700</v>
      </c>
      <c r="B2357" s="32" t="s">
        <v>2520</v>
      </c>
    </row>
    <row r="2358" customFormat="false" ht="14.25" hidden="false" customHeight="false" outlineLevel="0" collapsed="false">
      <c r="A2358" s="24" t="n">
        <v>794800</v>
      </c>
      <c r="B2358" s="32" t="s">
        <v>2521</v>
      </c>
    </row>
    <row r="2359" customFormat="false" ht="14.25" hidden="false" customHeight="false" outlineLevel="0" collapsed="false">
      <c r="A2359" s="24" t="n">
        <v>794900</v>
      </c>
      <c r="B2359" s="32" t="s">
        <v>2522</v>
      </c>
    </row>
    <row r="2360" customFormat="false" ht="14.25" hidden="false" customHeight="false" outlineLevel="0" collapsed="false">
      <c r="A2360" s="24" t="n">
        <v>795000</v>
      </c>
      <c r="B2360" s="32" t="s">
        <v>2523</v>
      </c>
    </row>
    <row r="2361" customFormat="false" ht="16.4" hidden="false" customHeight="false" outlineLevel="0" collapsed="false">
      <c r="A2361" s="24" t="n">
        <v>795100</v>
      </c>
      <c r="B2361" s="32" t="s">
        <v>2524</v>
      </c>
    </row>
    <row r="2362" customFormat="false" ht="14.25" hidden="false" customHeight="false" outlineLevel="0" collapsed="false">
      <c r="A2362" s="24" t="n">
        <v>795110</v>
      </c>
      <c r="B2362" s="32" t="s">
        <v>2525</v>
      </c>
    </row>
    <row r="2363" customFormat="false" ht="14.25" hidden="false" customHeight="false" outlineLevel="0" collapsed="false">
      <c r="A2363" s="24" t="n">
        <v>795150</v>
      </c>
      <c r="B2363" s="32" t="s">
        <v>2526</v>
      </c>
    </row>
    <row r="2364" customFormat="false" ht="14.25" hidden="false" customHeight="false" outlineLevel="0" collapsed="false">
      <c r="A2364" s="24" t="n">
        <v>795200</v>
      </c>
      <c r="B2364" s="32" t="s">
        <v>2527</v>
      </c>
    </row>
    <row r="2365" customFormat="false" ht="14.25" hidden="false" customHeight="false" outlineLevel="0" collapsed="false">
      <c r="A2365" s="24" t="n">
        <v>795250</v>
      </c>
      <c r="B2365" s="32" t="s">
        <v>2528</v>
      </c>
    </row>
    <row r="2366" customFormat="false" ht="14.25" hidden="false" customHeight="false" outlineLevel="0" collapsed="false">
      <c r="A2366" s="24" t="n">
        <v>795300</v>
      </c>
      <c r="B2366" s="32" t="s">
        <v>2529</v>
      </c>
    </row>
    <row r="2367" customFormat="false" ht="14.25" hidden="false" customHeight="false" outlineLevel="0" collapsed="false">
      <c r="A2367" s="24" t="n">
        <v>795350</v>
      </c>
      <c r="B2367" s="32" t="s">
        <v>2530</v>
      </c>
    </row>
    <row r="2368" customFormat="false" ht="14.25" hidden="false" customHeight="false" outlineLevel="0" collapsed="false">
      <c r="A2368" s="24" t="n">
        <v>795400</v>
      </c>
      <c r="B2368" s="32" t="s">
        <v>2531</v>
      </c>
    </row>
    <row r="2369" customFormat="false" ht="14.25" hidden="false" customHeight="false" outlineLevel="0" collapsed="false">
      <c r="A2369" s="24" t="n">
        <v>795450</v>
      </c>
      <c r="B2369" s="32" t="s">
        <v>2532</v>
      </c>
    </row>
    <row r="2370" customFormat="false" ht="16.4" hidden="false" customHeight="false" outlineLevel="0" collapsed="false">
      <c r="A2370" s="24" t="n">
        <v>795500</v>
      </c>
      <c r="B2370" s="32" t="s">
        <v>2533</v>
      </c>
    </row>
    <row r="2371" customFormat="false" ht="16.4" hidden="false" customHeight="false" outlineLevel="0" collapsed="false">
      <c r="A2371" s="24" t="n">
        <v>795550</v>
      </c>
      <c r="B2371" s="33" t="s">
        <v>2534</v>
      </c>
    </row>
    <row r="2372" customFormat="false" ht="16.4" hidden="false" customHeight="false" outlineLevel="0" collapsed="false">
      <c r="A2372" s="24" t="n">
        <v>795600</v>
      </c>
      <c r="B2372" s="32" t="s">
        <v>2535</v>
      </c>
    </row>
    <row r="2373" customFormat="false" ht="16.4" hidden="false" customHeight="false" outlineLevel="0" collapsed="false">
      <c r="A2373" s="24" t="n">
        <v>795700</v>
      </c>
      <c r="B2373" s="32" t="s">
        <v>2536</v>
      </c>
    </row>
    <row r="2374" customFormat="false" ht="14.25" hidden="false" customHeight="false" outlineLevel="0" collapsed="false">
      <c r="A2374" s="24" t="n">
        <v>795900</v>
      </c>
      <c r="B2374" s="32" t="s">
        <v>2537</v>
      </c>
    </row>
    <row r="2375" customFormat="false" ht="16.4" hidden="false" customHeight="false" outlineLevel="0" collapsed="false">
      <c r="A2375" s="24" t="n">
        <v>796200</v>
      </c>
      <c r="B2375" s="32" t="s">
        <v>2538</v>
      </c>
    </row>
    <row r="2376" customFormat="false" ht="16.4" hidden="false" customHeight="false" outlineLevel="0" collapsed="false">
      <c r="A2376" s="24" t="n">
        <v>796300</v>
      </c>
      <c r="B2376" s="32" t="s">
        <v>2539</v>
      </c>
    </row>
    <row r="2377" customFormat="false" ht="16.4" hidden="false" customHeight="false" outlineLevel="0" collapsed="false">
      <c r="A2377" s="24" t="n">
        <v>796400</v>
      </c>
      <c r="B2377" s="32" t="s">
        <v>2540</v>
      </c>
    </row>
    <row r="2378" customFormat="false" ht="14.25" hidden="false" customHeight="false" outlineLevel="0" collapsed="false">
      <c r="A2378" s="24" t="n">
        <v>796500</v>
      </c>
      <c r="B2378" s="32" t="s">
        <v>2541</v>
      </c>
    </row>
    <row r="2379" customFormat="false" ht="16.4" hidden="false" customHeight="false" outlineLevel="0" collapsed="false">
      <c r="A2379" s="24" t="n">
        <v>796900</v>
      </c>
      <c r="B2379" s="32" t="s">
        <v>2542</v>
      </c>
    </row>
    <row r="2380" customFormat="false" ht="14.25" hidden="false" customHeight="false" outlineLevel="0" collapsed="false">
      <c r="A2380" s="24" t="n">
        <v>799400</v>
      </c>
      <c r="B2380" s="32" t="s">
        <v>2543</v>
      </c>
    </row>
    <row r="2381" customFormat="false" ht="14.25" hidden="false" customHeight="false" outlineLevel="0" collapsed="false">
      <c r="A2381" s="24" t="n">
        <v>799500</v>
      </c>
      <c r="B2381" s="32" t="s">
        <v>2544</v>
      </c>
    </row>
    <row r="2382" customFormat="false" ht="16.4" hidden="false" customHeight="false" outlineLevel="0" collapsed="false">
      <c r="A2382" s="24" t="n">
        <v>799600</v>
      </c>
      <c r="B2382" s="33" t="s">
        <v>2545</v>
      </c>
    </row>
    <row r="2383" customFormat="false" ht="16.4" hidden="false" customHeight="false" outlineLevel="0" collapsed="false">
      <c r="A2383" s="24" t="n">
        <v>799700</v>
      </c>
      <c r="B2383" s="32" t="s">
        <v>2546</v>
      </c>
    </row>
    <row r="2384" customFormat="false" ht="16.4" hidden="false" customHeight="false" outlineLevel="0" collapsed="false">
      <c r="A2384" s="24" t="n">
        <v>799800</v>
      </c>
      <c r="B2384" s="33" t="s">
        <v>2547</v>
      </c>
    </row>
    <row r="2385" customFormat="false" ht="14.25" hidden="false" customHeight="false" outlineLevel="0" collapsed="false">
      <c r="A2385" s="24" t="n">
        <v>799810</v>
      </c>
      <c r="B2385" s="32" t="s">
        <v>2548</v>
      </c>
    </row>
    <row r="2386" customFormat="false" ht="14.25" hidden="false" customHeight="false" outlineLevel="0" collapsed="false">
      <c r="A2386" s="24" t="n">
        <v>799820</v>
      </c>
      <c r="B2386" s="32" t="s">
        <v>2549</v>
      </c>
    </row>
    <row r="2387" customFormat="false" ht="14.25" hidden="false" customHeight="false" outlineLevel="0" collapsed="false">
      <c r="A2387" s="24" t="n">
        <v>799830</v>
      </c>
      <c r="B2387" s="32" t="s">
        <v>2550</v>
      </c>
    </row>
    <row r="2388" customFormat="false" ht="16.4" hidden="false" customHeight="false" outlineLevel="0" collapsed="false">
      <c r="A2388" s="24" t="n">
        <v>799900</v>
      </c>
      <c r="B2388" s="32" t="s">
        <v>2551</v>
      </c>
    </row>
    <row r="2389" customFormat="false" ht="14.25" hidden="false" customHeight="false" outlineLevel="0" collapsed="false">
      <c r="A2389" s="24" t="n">
        <v>801000</v>
      </c>
      <c r="B2389" s="32" t="s">
        <v>2552</v>
      </c>
    </row>
    <row r="2390" customFormat="false" ht="16.4" hidden="false" customHeight="false" outlineLevel="0" collapsed="false">
      <c r="A2390" s="24" t="n">
        <v>801100</v>
      </c>
      <c r="B2390" s="32" t="s">
        <v>2553</v>
      </c>
    </row>
    <row r="2391" customFormat="false" ht="14.25" hidden="false" customHeight="false" outlineLevel="0" collapsed="false">
      <c r="A2391" s="24" t="n">
        <v>801200</v>
      </c>
      <c r="B2391" s="32" t="s">
        <v>2554</v>
      </c>
    </row>
    <row r="2392" customFormat="false" ht="14.25" hidden="false" customHeight="false" outlineLevel="0" collapsed="false">
      <c r="A2392" s="24" t="n">
        <v>801300</v>
      </c>
      <c r="B2392" s="32" t="s">
        <v>2555</v>
      </c>
    </row>
    <row r="2393" customFormat="false" ht="14.25" hidden="false" customHeight="false" outlineLevel="0" collapsed="false">
      <c r="A2393" s="24" t="n">
        <v>801400</v>
      </c>
      <c r="B2393" s="32" t="s">
        <v>2556</v>
      </c>
    </row>
    <row r="2394" customFormat="false" ht="16.4" hidden="false" customHeight="false" outlineLevel="0" collapsed="false">
      <c r="A2394" s="24" t="n">
        <v>801900</v>
      </c>
      <c r="B2394" s="32" t="s">
        <v>2557</v>
      </c>
    </row>
    <row r="2395" customFormat="false" ht="14.25" hidden="false" customHeight="false" outlineLevel="0" collapsed="false">
      <c r="A2395" s="24" t="n">
        <v>802150</v>
      </c>
      <c r="B2395" s="32" t="s">
        <v>2558</v>
      </c>
    </row>
    <row r="2396" customFormat="false" ht="14.25" hidden="false" customHeight="false" outlineLevel="0" collapsed="false">
      <c r="A2396" s="24" t="n">
        <v>802200</v>
      </c>
      <c r="B2396" s="32" t="s">
        <v>2559</v>
      </c>
    </row>
    <row r="2397" customFormat="false" ht="14.25" hidden="false" customHeight="false" outlineLevel="0" collapsed="false">
      <c r="A2397" s="24" t="n">
        <v>802250</v>
      </c>
      <c r="B2397" s="32" t="s">
        <v>2560</v>
      </c>
    </row>
    <row r="2398" customFormat="false" ht="16.4" hidden="false" customHeight="false" outlineLevel="0" collapsed="false">
      <c r="A2398" s="24" t="n">
        <v>802300</v>
      </c>
      <c r="B2398" s="32" t="s">
        <v>2561</v>
      </c>
    </row>
    <row r="2399" customFormat="false" ht="14.25" hidden="false" customHeight="false" outlineLevel="0" collapsed="false">
      <c r="A2399" s="24" t="n">
        <v>802350</v>
      </c>
      <c r="B2399" s="32" t="s">
        <v>2562</v>
      </c>
    </row>
    <row r="2400" customFormat="false" ht="14.25" hidden="false" customHeight="false" outlineLevel="0" collapsed="false">
      <c r="A2400" s="24" t="n">
        <v>802400</v>
      </c>
      <c r="B2400" s="32" t="s">
        <v>2563</v>
      </c>
    </row>
    <row r="2401" customFormat="false" ht="14.25" hidden="false" customHeight="false" outlineLevel="0" collapsed="false">
      <c r="A2401" s="24" t="n">
        <v>802450</v>
      </c>
      <c r="B2401" s="32" t="s">
        <v>2564</v>
      </c>
    </row>
    <row r="2402" customFormat="false" ht="14.25" hidden="false" customHeight="false" outlineLevel="0" collapsed="false">
      <c r="A2402" s="24" t="n">
        <v>802500</v>
      </c>
      <c r="B2402" s="32" t="s">
        <v>2565</v>
      </c>
    </row>
    <row r="2403" customFormat="false" ht="14.25" hidden="false" customHeight="false" outlineLevel="0" collapsed="false">
      <c r="A2403" s="24" t="n">
        <v>802550</v>
      </c>
      <c r="B2403" s="32" t="s">
        <v>2566</v>
      </c>
    </row>
    <row r="2404" customFormat="false" ht="14.25" hidden="false" customHeight="false" outlineLevel="0" collapsed="false">
      <c r="A2404" s="24" t="n">
        <v>802600</v>
      </c>
      <c r="B2404" s="32" t="s">
        <v>2567</v>
      </c>
    </row>
    <row r="2405" customFormat="false" ht="14.25" hidden="false" customHeight="false" outlineLevel="0" collapsed="false">
      <c r="A2405" s="24" t="n">
        <v>802900</v>
      </c>
      <c r="B2405" s="32" t="s">
        <v>2568</v>
      </c>
    </row>
    <row r="2406" customFormat="false" ht="14.25" hidden="false" customHeight="false" outlineLevel="0" collapsed="false">
      <c r="A2406" s="24" t="n">
        <v>803100</v>
      </c>
      <c r="B2406" s="32" t="s">
        <v>2569</v>
      </c>
    </row>
    <row r="2407" customFormat="false" ht="16.4" hidden="false" customHeight="false" outlineLevel="0" collapsed="false">
      <c r="A2407" s="24" t="n">
        <v>803200</v>
      </c>
      <c r="B2407" s="32" t="s">
        <v>2570</v>
      </c>
    </row>
    <row r="2408" customFormat="false" ht="14.25" hidden="false" customHeight="false" outlineLevel="0" collapsed="false">
      <c r="A2408" s="24" t="n">
        <v>803300</v>
      </c>
      <c r="B2408" s="32" t="s">
        <v>2571</v>
      </c>
    </row>
    <row r="2409" customFormat="false" ht="14.25" hidden="false" customHeight="false" outlineLevel="0" collapsed="false">
      <c r="A2409" s="24" t="n">
        <v>803400</v>
      </c>
      <c r="B2409" s="32" t="s">
        <v>2572</v>
      </c>
    </row>
    <row r="2410" customFormat="false" ht="14.25" hidden="false" customHeight="false" outlineLevel="0" collapsed="false">
      <c r="A2410" s="24" t="n">
        <v>803500</v>
      </c>
      <c r="B2410" s="32" t="s">
        <v>2573</v>
      </c>
    </row>
    <row r="2411" customFormat="false" ht="16.4" hidden="false" customHeight="false" outlineLevel="0" collapsed="false">
      <c r="A2411" s="24" t="n">
        <v>803600</v>
      </c>
      <c r="B2411" s="32" t="s">
        <v>2574</v>
      </c>
    </row>
    <row r="2412" customFormat="false" ht="16.4" hidden="false" customHeight="false" outlineLevel="0" collapsed="false">
      <c r="A2412" s="24" t="n">
        <v>803700</v>
      </c>
      <c r="B2412" s="32" t="s">
        <v>2575</v>
      </c>
    </row>
    <row r="2413" customFormat="false" ht="14.25" hidden="false" customHeight="false" outlineLevel="0" collapsed="false">
      <c r="A2413" s="24" t="n">
        <v>803800</v>
      </c>
      <c r="B2413" s="32" t="s">
        <v>2576</v>
      </c>
    </row>
    <row r="2414" customFormat="false" ht="14.25" hidden="false" customHeight="false" outlineLevel="0" collapsed="false">
      <c r="A2414" s="24" t="n">
        <v>803900</v>
      </c>
      <c r="B2414" s="32" t="s">
        <v>2577</v>
      </c>
    </row>
    <row r="2415" customFormat="false" ht="16.4" hidden="false" customHeight="false" outlineLevel="0" collapsed="false">
      <c r="A2415" s="24" t="n">
        <v>811100</v>
      </c>
      <c r="B2415" s="32" t="s">
        <v>2578</v>
      </c>
    </row>
    <row r="2416" customFormat="false" ht="14.25" hidden="false" customHeight="false" outlineLevel="0" collapsed="false">
      <c r="A2416" s="24" t="n">
        <v>811200</v>
      </c>
      <c r="B2416" s="32" t="s">
        <v>2579</v>
      </c>
    </row>
    <row r="2417" customFormat="false" ht="14.25" hidden="false" customHeight="false" outlineLevel="0" collapsed="false">
      <c r="A2417" s="24" t="n">
        <v>811300</v>
      </c>
      <c r="B2417" s="32" t="s">
        <v>2580</v>
      </c>
    </row>
    <row r="2418" customFormat="false" ht="14.25" hidden="false" customHeight="false" outlineLevel="0" collapsed="false">
      <c r="A2418" s="24" t="n">
        <v>811400</v>
      </c>
      <c r="B2418" s="32" t="s">
        <v>2581</v>
      </c>
    </row>
    <row r="2419" customFormat="false" ht="16.4" hidden="false" customHeight="false" outlineLevel="0" collapsed="false">
      <c r="A2419" s="24" t="n">
        <v>811900</v>
      </c>
      <c r="B2419" s="32" t="s">
        <v>2582</v>
      </c>
    </row>
    <row r="2420" customFormat="false" ht="14.25" hidden="false" customHeight="false" outlineLevel="0" collapsed="false">
      <c r="A2420" s="24" t="n">
        <v>812100</v>
      </c>
      <c r="B2420" s="32" t="s">
        <v>2583</v>
      </c>
    </row>
    <row r="2421" customFormat="false" ht="16.4" hidden="false" customHeight="false" outlineLevel="0" collapsed="false">
      <c r="A2421" s="24" t="n">
        <v>812200</v>
      </c>
      <c r="B2421" s="32" t="s">
        <v>2584</v>
      </c>
    </row>
    <row r="2422" customFormat="false" ht="16.4" hidden="false" customHeight="false" outlineLevel="0" collapsed="false">
      <c r="A2422" s="24" t="n">
        <v>812300</v>
      </c>
      <c r="B2422" s="32" t="s">
        <v>2585</v>
      </c>
    </row>
    <row r="2423" customFormat="false" ht="14.25" hidden="false" customHeight="false" outlineLevel="0" collapsed="false">
      <c r="A2423" s="24" t="n">
        <v>812400</v>
      </c>
      <c r="B2423" s="32" t="s">
        <v>2586</v>
      </c>
    </row>
    <row r="2424" customFormat="false" ht="14.25" hidden="false" customHeight="false" outlineLevel="0" collapsed="false">
      <c r="A2424" s="24" t="n">
        <v>812500</v>
      </c>
      <c r="B2424" s="32" t="s">
        <v>2587</v>
      </c>
    </row>
    <row r="2425" customFormat="false" ht="16.4" hidden="false" customHeight="false" outlineLevel="0" collapsed="false">
      <c r="A2425" s="24" t="n">
        <v>812600</v>
      </c>
      <c r="B2425" s="33" t="s">
        <v>2588</v>
      </c>
    </row>
    <row r="2426" customFormat="false" ht="16.4" hidden="false" customHeight="false" outlineLevel="0" collapsed="false">
      <c r="A2426" s="24" t="n">
        <v>812900</v>
      </c>
      <c r="B2426" s="32" t="s">
        <v>2589</v>
      </c>
    </row>
    <row r="2427" customFormat="false" ht="14.25" hidden="false" customHeight="false" outlineLevel="0" collapsed="false">
      <c r="A2427" s="24" t="n">
        <v>819200</v>
      </c>
      <c r="B2427" s="32" t="s">
        <v>2590</v>
      </c>
    </row>
    <row r="2428" customFormat="false" ht="14.25" hidden="false" customHeight="false" outlineLevel="0" collapsed="false">
      <c r="A2428" s="24" t="n">
        <v>819220</v>
      </c>
      <c r="B2428" s="32" t="s">
        <v>2591</v>
      </c>
    </row>
    <row r="2429" customFormat="false" ht="14.25" hidden="false" customHeight="false" outlineLevel="0" collapsed="false">
      <c r="A2429" s="24" t="n">
        <v>819240</v>
      </c>
      <c r="B2429" s="32" t="s">
        <v>2592</v>
      </c>
    </row>
    <row r="2430" customFormat="false" ht="16.4" hidden="false" customHeight="false" outlineLevel="0" collapsed="false">
      <c r="A2430" s="24" t="n">
        <v>819260</v>
      </c>
      <c r="B2430" s="32" t="s">
        <v>2593</v>
      </c>
    </row>
    <row r="2431" customFormat="false" ht="16.4" hidden="false" customHeight="false" outlineLevel="0" collapsed="false">
      <c r="A2431" s="24" t="n">
        <v>819280</v>
      </c>
      <c r="B2431" s="32" t="s">
        <v>2594</v>
      </c>
    </row>
    <row r="2432" customFormat="false" ht="14.25" hidden="false" customHeight="false" outlineLevel="0" collapsed="false">
      <c r="A2432" s="24" t="n">
        <v>819300</v>
      </c>
      <c r="B2432" s="32" t="s">
        <v>2595</v>
      </c>
    </row>
    <row r="2433" customFormat="false" ht="16.4" hidden="false" customHeight="false" outlineLevel="0" collapsed="false">
      <c r="A2433" s="24" t="n">
        <v>819320</v>
      </c>
      <c r="B2433" s="32" t="s">
        <v>2596</v>
      </c>
    </row>
    <row r="2434" customFormat="false" ht="16.4" hidden="false" customHeight="false" outlineLevel="0" collapsed="false">
      <c r="A2434" s="24" t="n">
        <v>819340</v>
      </c>
      <c r="B2434" s="32" t="s">
        <v>2597</v>
      </c>
    </row>
    <row r="2435" customFormat="false" ht="14.25" hidden="false" customHeight="false" outlineLevel="0" collapsed="false">
      <c r="A2435" s="24" t="n">
        <v>819360</v>
      </c>
      <c r="B2435" s="32" t="s">
        <v>2598</v>
      </c>
    </row>
    <row r="2436" customFormat="false" ht="14.25" hidden="false" customHeight="false" outlineLevel="0" collapsed="false">
      <c r="A2436" s="24" t="n">
        <v>819380</v>
      </c>
      <c r="B2436" s="32" t="s">
        <v>2599</v>
      </c>
    </row>
    <row r="2437" customFormat="false" ht="16.4" hidden="false" customHeight="false" outlineLevel="0" collapsed="false">
      <c r="A2437" s="24" t="n">
        <v>819400</v>
      </c>
      <c r="B2437" s="32" t="s">
        <v>2600</v>
      </c>
    </row>
    <row r="2438" customFormat="false" ht="16.4" hidden="false" customHeight="false" outlineLevel="0" collapsed="false">
      <c r="A2438" s="24" t="n">
        <v>819420</v>
      </c>
      <c r="B2438" s="32" t="s">
        <v>2601</v>
      </c>
    </row>
    <row r="2439" customFormat="false" ht="14.25" hidden="false" customHeight="false" outlineLevel="0" collapsed="false">
      <c r="A2439" s="24" t="n">
        <v>819440</v>
      </c>
      <c r="B2439" s="32" t="s">
        <v>2602</v>
      </c>
    </row>
    <row r="2440" customFormat="false" ht="14.25" hidden="false" customHeight="false" outlineLevel="0" collapsed="false">
      <c r="A2440" s="24" t="n">
        <v>819460</v>
      </c>
      <c r="B2440" s="32" t="s">
        <v>2603</v>
      </c>
    </row>
    <row r="2441" customFormat="false" ht="14.25" hidden="false" customHeight="false" outlineLevel="0" collapsed="false">
      <c r="A2441" s="24" t="n">
        <v>819480</v>
      </c>
      <c r="B2441" s="32" t="s">
        <v>2604</v>
      </c>
    </row>
    <row r="2442" customFormat="false" ht="16.4" hidden="false" customHeight="false" outlineLevel="0" collapsed="false">
      <c r="A2442" s="24" t="n">
        <v>819500</v>
      </c>
      <c r="B2442" s="33" t="s">
        <v>2605</v>
      </c>
    </row>
    <row r="2443" customFormat="false" ht="14.25" hidden="false" customHeight="false" outlineLevel="0" collapsed="false">
      <c r="A2443" s="24" t="n">
        <v>819520</v>
      </c>
      <c r="B2443" s="32" t="s">
        <v>2606</v>
      </c>
    </row>
    <row r="2444" customFormat="false" ht="14.25" hidden="false" customHeight="false" outlineLevel="0" collapsed="false">
      <c r="A2444" s="24" t="n">
        <v>819540</v>
      </c>
      <c r="B2444" s="32" t="s">
        <v>2607</v>
      </c>
    </row>
    <row r="2445" customFormat="false" ht="14.25" hidden="false" customHeight="false" outlineLevel="0" collapsed="false">
      <c r="A2445" s="24" t="n">
        <v>819560</v>
      </c>
      <c r="B2445" s="32" t="s">
        <v>2608</v>
      </c>
    </row>
    <row r="2446" customFormat="false" ht="16.4" hidden="false" customHeight="false" outlineLevel="0" collapsed="false">
      <c r="A2446" s="24" t="n">
        <v>819900</v>
      </c>
      <c r="B2446" s="32" t="s">
        <v>2609</v>
      </c>
    </row>
    <row r="2447" customFormat="false" ht="14.25" hidden="false" customHeight="false" outlineLevel="0" collapsed="false">
      <c r="A2447" s="24" t="n">
        <v>820150</v>
      </c>
      <c r="B2447" s="32" t="s">
        <v>2610</v>
      </c>
    </row>
    <row r="2448" customFormat="false" ht="14.25" hidden="false" customHeight="false" outlineLevel="0" collapsed="false">
      <c r="A2448" s="24" t="n">
        <v>820200</v>
      </c>
      <c r="B2448" s="32" t="s">
        <v>2611</v>
      </c>
    </row>
    <row r="2449" customFormat="false" ht="14.25" hidden="false" customHeight="false" outlineLevel="0" collapsed="false">
      <c r="A2449" s="24" t="n">
        <v>820250</v>
      </c>
      <c r="B2449" s="32" t="s">
        <v>2612</v>
      </c>
    </row>
    <row r="2450" customFormat="false" ht="14.25" hidden="false" customHeight="false" outlineLevel="0" collapsed="false">
      <c r="A2450" s="24" t="n">
        <v>820300</v>
      </c>
      <c r="B2450" s="32" t="s">
        <v>2613</v>
      </c>
    </row>
    <row r="2451" customFormat="false" ht="14.25" hidden="false" customHeight="false" outlineLevel="0" collapsed="false">
      <c r="A2451" s="24" t="n">
        <v>820350</v>
      </c>
      <c r="B2451" s="32" t="s">
        <v>2614</v>
      </c>
    </row>
    <row r="2452" customFormat="false" ht="16.4" hidden="false" customHeight="false" outlineLevel="0" collapsed="false">
      <c r="A2452" s="24" t="n">
        <v>820400</v>
      </c>
      <c r="B2452" s="32" t="s">
        <v>2615</v>
      </c>
    </row>
    <row r="2453" customFormat="false" ht="14.25" hidden="false" customHeight="false" outlineLevel="0" collapsed="false">
      <c r="A2453" s="24" t="n">
        <v>820450</v>
      </c>
      <c r="B2453" s="32" t="s">
        <v>2616</v>
      </c>
    </row>
    <row r="2454" customFormat="false" ht="14.25" hidden="false" customHeight="false" outlineLevel="0" collapsed="false">
      <c r="A2454" s="24" t="n">
        <v>820500</v>
      </c>
      <c r="B2454" s="32" t="s">
        <v>2617</v>
      </c>
    </row>
    <row r="2455" customFormat="false" ht="14.25" hidden="false" customHeight="false" outlineLevel="0" collapsed="false">
      <c r="A2455" s="24" t="n">
        <v>820550</v>
      </c>
      <c r="B2455" s="32" t="s">
        <v>2618</v>
      </c>
    </row>
    <row r="2456" customFormat="false" ht="16.4" hidden="false" customHeight="false" outlineLevel="0" collapsed="false">
      <c r="A2456" s="24" t="n">
        <v>820600</v>
      </c>
      <c r="B2456" s="32" t="s">
        <v>2619</v>
      </c>
    </row>
    <row r="2457" customFormat="false" ht="16.4" hidden="false" customHeight="false" outlineLevel="0" collapsed="false">
      <c r="A2457" s="24" t="n">
        <v>820900</v>
      </c>
      <c r="B2457" s="32" t="s">
        <v>2620</v>
      </c>
    </row>
    <row r="2458" customFormat="false" ht="14.25" hidden="false" customHeight="false" outlineLevel="0" collapsed="false">
      <c r="A2458" s="24" t="n">
        <v>830000</v>
      </c>
      <c r="B2458" s="32" t="s">
        <v>2621</v>
      </c>
    </row>
    <row r="2459" customFormat="false" ht="14.25" hidden="false" customHeight="false" outlineLevel="0" collapsed="false">
      <c r="A2459" s="24" t="n">
        <v>830100</v>
      </c>
      <c r="B2459" s="32" t="s">
        <v>2622</v>
      </c>
    </row>
    <row r="2460" customFormat="false" ht="16.4" hidden="false" customHeight="false" outlineLevel="0" collapsed="false">
      <c r="A2460" s="24" t="n">
        <v>831100</v>
      </c>
      <c r="B2460" s="32" t="s">
        <v>2623</v>
      </c>
    </row>
    <row r="2461" customFormat="false" ht="14.25" hidden="false" customHeight="false" outlineLevel="0" collapsed="false">
      <c r="A2461" s="24" t="n">
        <v>831200</v>
      </c>
      <c r="B2461" s="32" t="s">
        <v>2624</v>
      </c>
    </row>
    <row r="2462" customFormat="false" ht="14.25" hidden="false" customHeight="false" outlineLevel="0" collapsed="false">
      <c r="A2462" s="24" t="n">
        <v>831300</v>
      </c>
      <c r="B2462" s="32" t="s">
        <v>2625</v>
      </c>
    </row>
    <row r="2463" customFormat="false" ht="16.4" hidden="false" customHeight="false" outlineLevel="0" collapsed="false">
      <c r="A2463" s="24" t="n">
        <v>831400</v>
      </c>
      <c r="B2463" s="32" t="s">
        <v>2626</v>
      </c>
    </row>
    <row r="2464" customFormat="false" ht="14.25" hidden="false" customHeight="false" outlineLevel="0" collapsed="false">
      <c r="A2464" s="24" t="n">
        <v>831500</v>
      </c>
      <c r="B2464" s="32" t="s">
        <v>2627</v>
      </c>
    </row>
    <row r="2465" customFormat="false" ht="14.25" hidden="false" customHeight="false" outlineLevel="0" collapsed="false">
      <c r="A2465" s="24" t="n">
        <v>831600</v>
      </c>
      <c r="B2465" s="32" t="s">
        <v>2628</v>
      </c>
    </row>
    <row r="2466" customFormat="false" ht="16.4" hidden="false" customHeight="false" outlineLevel="0" collapsed="false">
      <c r="A2466" s="24" t="n">
        <v>831900</v>
      </c>
      <c r="B2466" s="32" t="s">
        <v>2629</v>
      </c>
    </row>
    <row r="2467" customFormat="false" ht="14.25" hidden="false" customHeight="false" outlineLevel="0" collapsed="false">
      <c r="A2467" s="24" t="n">
        <v>832000</v>
      </c>
      <c r="B2467" s="32" t="s">
        <v>2630</v>
      </c>
    </row>
    <row r="2468" customFormat="false" ht="16.4" hidden="false" customHeight="false" outlineLevel="0" collapsed="false">
      <c r="A2468" s="24" t="n">
        <v>832100</v>
      </c>
      <c r="B2468" s="32" t="s">
        <v>2631</v>
      </c>
    </row>
    <row r="2469" customFormat="false" ht="14.25" hidden="false" customHeight="false" outlineLevel="0" collapsed="false">
      <c r="A2469" s="24" t="n">
        <v>832200</v>
      </c>
      <c r="B2469" s="32" t="s">
        <v>2632</v>
      </c>
    </row>
    <row r="2470" customFormat="false" ht="14.25" hidden="false" customHeight="false" outlineLevel="0" collapsed="false">
      <c r="A2470" s="24" t="n">
        <v>832300</v>
      </c>
      <c r="B2470" s="32" t="s">
        <v>2633</v>
      </c>
    </row>
    <row r="2471" customFormat="false" ht="14.25" hidden="false" customHeight="false" outlineLevel="0" collapsed="false">
      <c r="A2471" s="24" t="n">
        <v>832400</v>
      </c>
      <c r="B2471" s="32" t="s">
        <v>2634</v>
      </c>
    </row>
    <row r="2472" customFormat="false" ht="16.4" hidden="false" customHeight="false" outlineLevel="0" collapsed="false">
      <c r="A2472" s="24" t="n">
        <v>832500</v>
      </c>
      <c r="B2472" s="32" t="s">
        <v>2635</v>
      </c>
    </row>
    <row r="2473" customFormat="false" ht="14.25" hidden="false" customHeight="false" outlineLevel="0" collapsed="false">
      <c r="A2473" s="24" t="n">
        <v>832600</v>
      </c>
      <c r="B2473" s="32" t="s">
        <v>2636</v>
      </c>
    </row>
    <row r="2474" customFormat="false" ht="14.25" hidden="false" customHeight="false" outlineLevel="0" collapsed="false">
      <c r="A2474" s="24" t="n">
        <v>832700</v>
      </c>
      <c r="B2474" s="32" t="s">
        <v>2637</v>
      </c>
    </row>
    <row r="2475" customFormat="false" ht="16.4" hidden="false" customHeight="false" outlineLevel="0" collapsed="false">
      <c r="A2475" s="24" t="n">
        <v>832900</v>
      </c>
      <c r="B2475" s="32" t="s">
        <v>2638</v>
      </c>
    </row>
    <row r="2476" customFormat="false" ht="16.4" hidden="false" customHeight="false" outlineLevel="0" collapsed="false">
      <c r="A2476" s="24" t="n">
        <v>833100</v>
      </c>
      <c r="B2476" s="32" t="s">
        <v>2639</v>
      </c>
    </row>
    <row r="2477" customFormat="false" ht="16.4" hidden="false" customHeight="false" outlineLevel="0" collapsed="false">
      <c r="A2477" s="24" t="n">
        <v>833150</v>
      </c>
      <c r="B2477" s="32" t="s">
        <v>2640</v>
      </c>
    </row>
    <row r="2478" customFormat="false" ht="16.4" hidden="false" customHeight="false" outlineLevel="0" collapsed="false">
      <c r="A2478" s="24" t="n">
        <v>833200</v>
      </c>
      <c r="B2478" s="32" t="s">
        <v>2641</v>
      </c>
    </row>
    <row r="2479" customFormat="false" ht="16.4" hidden="false" customHeight="false" outlineLevel="0" collapsed="false">
      <c r="A2479" s="24" t="n">
        <v>833250</v>
      </c>
      <c r="B2479" s="32" t="s">
        <v>2642</v>
      </c>
    </row>
    <row r="2480" customFormat="false" ht="16.4" hidden="false" customHeight="false" outlineLevel="0" collapsed="false">
      <c r="A2480" s="24" t="n">
        <v>833300</v>
      </c>
      <c r="B2480" s="32" t="s">
        <v>2643</v>
      </c>
    </row>
    <row r="2481" customFormat="false" ht="16.4" hidden="false" customHeight="false" outlineLevel="0" collapsed="false">
      <c r="A2481" s="24" t="n">
        <v>833350</v>
      </c>
      <c r="B2481" s="32" t="s">
        <v>2644</v>
      </c>
    </row>
    <row r="2482" customFormat="false" ht="16.4" hidden="false" customHeight="false" outlineLevel="0" collapsed="false">
      <c r="A2482" s="24" t="n">
        <v>833400</v>
      </c>
      <c r="B2482" s="32" t="s">
        <v>2645</v>
      </c>
    </row>
    <row r="2483" customFormat="false" ht="16.4" hidden="false" customHeight="false" outlineLevel="0" collapsed="false">
      <c r="A2483" s="24" t="n">
        <v>833450</v>
      </c>
      <c r="B2483" s="32" t="s">
        <v>2646</v>
      </c>
    </row>
    <row r="2484" customFormat="false" ht="16.4" hidden="false" customHeight="false" outlineLevel="0" collapsed="false">
      <c r="A2484" s="24" t="n">
        <v>833500</v>
      </c>
      <c r="B2484" s="32" t="s">
        <v>2647</v>
      </c>
    </row>
    <row r="2485" customFormat="false" ht="14.25" hidden="false" customHeight="false" outlineLevel="0" collapsed="false">
      <c r="A2485" s="24" t="n">
        <v>833550</v>
      </c>
      <c r="B2485" s="32" t="s">
        <v>2648</v>
      </c>
    </row>
    <row r="2486" customFormat="false" ht="14.25" hidden="false" customHeight="false" outlineLevel="0" collapsed="false">
      <c r="A2486" s="24" t="n">
        <v>833600</v>
      </c>
      <c r="B2486" s="32" t="s">
        <v>2649</v>
      </c>
    </row>
    <row r="2487" customFormat="false" ht="14.25" hidden="false" customHeight="false" outlineLevel="0" collapsed="false">
      <c r="A2487" s="24" t="n">
        <v>833900</v>
      </c>
      <c r="B2487" s="32" t="s">
        <v>2650</v>
      </c>
    </row>
    <row r="2488" customFormat="false" ht="14.25" hidden="false" customHeight="false" outlineLevel="0" collapsed="false">
      <c r="A2488" s="24" t="n">
        <v>834000</v>
      </c>
      <c r="B2488" s="32" t="s">
        <v>2651</v>
      </c>
    </row>
    <row r="2489" customFormat="false" ht="16.4" hidden="false" customHeight="false" outlineLevel="0" collapsed="false">
      <c r="A2489" s="24" t="n">
        <v>834100</v>
      </c>
      <c r="B2489" s="32" t="s">
        <v>2652</v>
      </c>
    </row>
    <row r="2490" customFormat="false" ht="14.25" hidden="false" customHeight="false" outlineLevel="0" collapsed="false">
      <c r="A2490" s="24" t="n">
        <v>834150</v>
      </c>
      <c r="B2490" s="32" t="s">
        <v>2653</v>
      </c>
    </row>
    <row r="2491" customFormat="false" ht="14.25" hidden="false" customHeight="false" outlineLevel="0" collapsed="false">
      <c r="A2491" s="24" t="n">
        <v>834200</v>
      </c>
      <c r="B2491" s="32" t="s">
        <v>2654</v>
      </c>
    </row>
    <row r="2492" customFormat="false" ht="14.25" hidden="false" customHeight="false" outlineLevel="0" collapsed="false">
      <c r="A2492" s="24" t="n">
        <v>834250</v>
      </c>
      <c r="B2492" s="32" t="s">
        <v>2655</v>
      </c>
    </row>
    <row r="2493" customFormat="false" ht="16.4" hidden="false" customHeight="false" outlineLevel="0" collapsed="false">
      <c r="A2493" s="24" t="n">
        <v>834300</v>
      </c>
      <c r="B2493" s="32" t="s">
        <v>2656</v>
      </c>
    </row>
    <row r="2494" customFormat="false" ht="14.25" hidden="false" customHeight="false" outlineLevel="0" collapsed="false">
      <c r="A2494" s="24" t="n">
        <v>834350</v>
      </c>
      <c r="B2494" s="32" t="s">
        <v>2657</v>
      </c>
    </row>
    <row r="2495" customFormat="false" ht="14.25" hidden="false" customHeight="false" outlineLevel="0" collapsed="false">
      <c r="A2495" s="24" t="n">
        <v>834400</v>
      </c>
      <c r="B2495" s="32" t="s">
        <v>2658</v>
      </c>
    </row>
    <row r="2496" customFormat="false" ht="14.25" hidden="false" customHeight="false" outlineLevel="0" collapsed="false">
      <c r="A2496" s="24" t="n">
        <v>834450</v>
      </c>
      <c r="B2496" s="32" t="s">
        <v>2659</v>
      </c>
    </row>
    <row r="2497" customFormat="false" ht="14.25" hidden="false" customHeight="false" outlineLevel="0" collapsed="false">
      <c r="A2497" s="24" t="n">
        <v>834500</v>
      </c>
      <c r="B2497" s="32" t="s">
        <v>2660</v>
      </c>
    </row>
    <row r="2498" customFormat="false" ht="16.4" hidden="false" customHeight="false" outlineLevel="0" collapsed="false">
      <c r="A2498" s="24" t="n">
        <v>834900</v>
      </c>
      <c r="B2498" s="32" t="s">
        <v>2661</v>
      </c>
    </row>
    <row r="2499" customFormat="false" ht="16.4" hidden="false" customHeight="false" outlineLevel="0" collapsed="false">
      <c r="A2499" s="24" t="n">
        <v>835200</v>
      </c>
      <c r="B2499" s="32" t="s">
        <v>2662</v>
      </c>
    </row>
    <row r="2500" customFormat="false" ht="14.25" hidden="false" customHeight="false" outlineLevel="0" collapsed="false">
      <c r="A2500" s="24" t="n">
        <v>835300</v>
      </c>
      <c r="B2500" s="32" t="s">
        <v>2663</v>
      </c>
    </row>
    <row r="2501" customFormat="false" ht="16.4" hidden="false" customHeight="false" outlineLevel="0" collapsed="false">
      <c r="A2501" s="24" t="n">
        <v>835400</v>
      </c>
      <c r="B2501" s="33" t="s">
        <v>2664</v>
      </c>
    </row>
    <row r="2502" customFormat="false" ht="14.25" hidden="false" customHeight="false" outlineLevel="0" collapsed="false">
      <c r="A2502" s="24" t="n">
        <v>835500</v>
      </c>
      <c r="B2502" s="32" t="s">
        <v>2665</v>
      </c>
    </row>
    <row r="2503" customFormat="false" ht="14.25" hidden="false" customHeight="false" outlineLevel="0" collapsed="false">
      <c r="A2503" s="24" t="n">
        <v>835600</v>
      </c>
      <c r="B2503" s="32" t="s">
        <v>2666</v>
      </c>
    </row>
    <row r="2504" customFormat="false" ht="16.4" hidden="false" customHeight="false" outlineLevel="0" collapsed="false">
      <c r="A2504" s="24" t="n">
        <v>835900</v>
      </c>
      <c r="B2504" s="32" t="s">
        <v>2667</v>
      </c>
    </row>
    <row r="2505" customFormat="false" ht="14.25" hidden="false" customHeight="false" outlineLevel="0" collapsed="false">
      <c r="A2505" s="24" t="n">
        <v>839200</v>
      </c>
      <c r="B2505" s="32" t="s">
        <v>2668</v>
      </c>
    </row>
    <row r="2506" customFormat="false" ht="14.25" hidden="false" customHeight="false" outlineLevel="0" collapsed="false">
      <c r="A2506" s="24" t="n">
        <v>839300</v>
      </c>
      <c r="B2506" s="32" t="s">
        <v>2669</v>
      </c>
    </row>
    <row r="2507" customFormat="false" ht="14.25" hidden="false" customHeight="false" outlineLevel="0" collapsed="false">
      <c r="A2507" s="24" t="n">
        <v>839400</v>
      </c>
      <c r="B2507" s="32" t="s">
        <v>2670</v>
      </c>
    </row>
    <row r="2508" customFormat="false" ht="14.25" hidden="false" customHeight="false" outlineLevel="0" collapsed="false">
      <c r="A2508" s="24" t="n">
        <v>839500</v>
      </c>
      <c r="B2508" s="32" t="s">
        <v>2671</v>
      </c>
    </row>
    <row r="2509" customFormat="false" ht="14.25" hidden="false" customHeight="false" outlineLevel="0" collapsed="false">
      <c r="A2509" s="24" t="n">
        <v>839600</v>
      </c>
      <c r="B2509" s="32" t="s">
        <v>2672</v>
      </c>
    </row>
    <row r="2510" customFormat="false" ht="16.4" hidden="false" customHeight="false" outlineLevel="0" collapsed="false">
      <c r="A2510" s="24" t="n">
        <v>839900</v>
      </c>
      <c r="B2510" s="32" t="s">
        <v>2673</v>
      </c>
    </row>
    <row r="2511" customFormat="false" ht="14.25" hidden="false" customHeight="false" outlineLevel="0" collapsed="false">
      <c r="A2511" s="24" t="n">
        <v>840000</v>
      </c>
      <c r="B2511" s="32" t="s">
        <v>2674</v>
      </c>
    </row>
    <row r="2512" customFormat="false" ht="14.25" hidden="false" customHeight="false" outlineLevel="0" collapsed="false">
      <c r="A2512" s="24" t="n">
        <v>841100</v>
      </c>
      <c r="B2512" s="32" t="s">
        <v>2675</v>
      </c>
    </row>
    <row r="2513" customFormat="false" ht="14.25" hidden="false" customHeight="false" outlineLevel="0" collapsed="false">
      <c r="A2513" s="24" t="n">
        <v>841120</v>
      </c>
      <c r="B2513" s="32" t="s">
        <v>2676</v>
      </c>
    </row>
    <row r="2514" customFormat="false" ht="16.4" hidden="false" customHeight="false" outlineLevel="0" collapsed="false">
      <c r="A2514" s="24" t="n">
        <v>841140</v>
      </c>
      <c r="B2514" s="32" t="s">
        <v>2677</v>
      </c>
    </row>
    <row r="2515" customFormat="false" ht="14.25" hidden="false" customHeight="false" outlineLevel="0" collapsed="false">
      <c r="A2515" s="24" t="n">
        <v>841160</v>
      </c>
      <c r="B2515" s="32" t="s">
        <v>2678</v>
      </c>
    </row>
    <row r="2516" customFormat="false" ht="14.25" hidden="false" customHeight="false" outlineLevel="0" collapsed="false">
      <c r="A2516" s="24" t="n">
        <v>841180</v>
      </c>
      <c r="B2516" s="32" t="s">
        <v>2679</v>
      </c>
    </row>
    <row r="2517" customFormat="false" ht="14.25" hidden="false" customHeight="false" outlineLevel="0" collapsed="false">
      <c r="A2517" s="24" t="n">
        <v>841200</v>
      </c>
      <c r="B2517" s="32" t="s">
        <v>2680</v>
      </c>
    </row>
    <row r="2518" customFormat="false" ht="14.25" hidden="false" customHeight="false" outlineLevel="0" collapsed="false">
      <c r="A2518" s="24" t="n">
        <v>841220</v>
      </c>
      <c r="B2518" s="32" t="s">
        <v>2681</v>
      </c>
    </row>
    <row r="2519" customFormat="false" ht="14.25" hidden="false" customHeight="false" outlineLevel="0" collapsed="false">
      <c r="A2519" s="24" t="n">
        <v>841240</v>
      </c>
      <c r="B2519" s="32" t="s">
        <v>2682</v>
      </c>
    </row>
    <row r="2520" customFormat="false" ht="14.25" hidden="false" customHeight="false" outlineLevel="0" collapsed="false">
      <c r="A2520" s="24" t="n">
        <v>841260</v>
      </c>
      <c r="B2520" s="32" t="s">
        <v>2683</v>
      </c>
    </row>
    <row r="2521" customFormat="false" ht="14.25" hidden="false" customHeight="false" outlineLevel="0" collapsed="false">
      <c r="A2521" s="24" t="n">
        <v>841280</v>
      </c>
      <c r="B2521" s="32" t="s">
        <v>2684</v>
      </c>
    </row>
    <row r="2522" customFormat="false" ht="14.25" hidden="false" customHeight="false" outlineLevel="0" collapsed="false">
      <c r="A2522" s="24" t="n">
        <v>841300</v>
      </c>
      <c r="B2522" s="32" t="s">
        <v>2685</v>
      </c>
    </row>
    <row r="2523" customFormat="false" ht="14.25" hidden="false" customHeight="false" outlineLevel="0" collapsed="false">
      <c r="A2523" s="24" t="n">
        <v>841320</v>
      </c>
      <c r="B2523" s="32" t="s">
        <v>2686</v>
      </c>
    </row>
    <row r="2524" customFormat="false" ht="14.25" hidden="false" customHeight="false" outlineLevel="0" collapsed="false">
      <c r="A2524" s="24" t="n">
        <v>841340</v>
      </c>
      <c r="B2524" s="32" t="s">
        <v>2687</v>
      </c>
    </row>
    <row r="2525" customFormat="false" ht="14.25" hidden="false" customHeight="false" outlineLevel="0" collapsed="false">
      <c r="A2525" s="24" t="n">
        <v>841360</v>
      </c>
      <c r="B2525" s="32" t="s">
        <v>2688</v>
      </c>
    </row>
    <row r="2526" customFormat="false" ht="14.25" hidden="false" customHeight="false" outlineLevel="0" collapsed="false">
      <c r="A2526" s="24" t="n">
        <v>841380</v>
      </c>
      <c r="B2526" s="32" t="s">
        <v>2689</v>
      </c>
    </row>
    <row r="2527" customFormat="false" ht="14.25" hidden="false" customHeight="false" outlineLevel="0" collapsed="false">
      <c r="A2527" s="24" t="n">
        <v>841400</v>
      </c>
      <c r="B2527" s="32" t="s">
        <v>2690</v>
      </c>
    </row>
    <row r="2528" customFormat="false" ht="14.25" hidden="false" customHeight="false" outlineLevel="0" collapsed="false">
      <c r="A2528" s="24" t="n">
        <v>841420</v>
      </c>
      <c r="B2528" s="32" t="s">
        <v>2691</v>
      </c>
    </row>
    <row r="2529" customFormat="false" ht="14.25" hidden="false" customHeight="false" outlineLevel="0" collapsed="false">
      <c r="A2529" s="24" t="n">
        <v>841440</v>
      </c>
      <c r="B2529" s="32" t="s">
        <v>2692</v>
      </c>
    </row>
    <row r="2530" customFormat="false" ht="14.25" hidden="false" customHeight="false" outlineLevel="0" collapsed="false">
      <c r="A2530" s="24" t="n">
        <v>841460</v>
      </c>
      <c r="B2530" s="32" t="s">
        <v>2693</v>
      </c>
    </row>
    <row r="2531" customFormat="false" ht="14.25" hidden="false" customHeight="false" outlineLevel="0" collapsed="false">
      <c r="A2531" s="24" t="n">
        <v>841480</v>
      </c>
      <c r="B2531" s="32" t="s">
        <v>2694</v>
      </c>
    </row>
    <row r="2532" customFormat="false" ht="16.4" hidden="false" customHeight="false" outlineLevel="0" collapsed="false">
      <c r="A2532" s="24" t="n">
        <v>841500</v>
      </c>
      <c r="B2532" s="32" t="s">
        <v>2695</v>
      </c>
    </row>
    <row r="2533" customFormat="false" ht="16.4" hidden="false" customHeight="false" outlineLevel="0" collapsed="false">
      <c r="A2533" s="24" t="n">
        <v>841900</v>
      </c>
      <c r="B2533" s="32" t="s">
        <v>2696</v>
      </c>
    </row>
    <row r="2534" customFormat="false" ht="14.25" hidden="false" customHeight="false" outlineLevel="0" collapsed="false">
      <c r="A2534" s="24" t="n">
        <v>842000</v>
      </c>
      <c r="B2534" s="32" t="s">
        <v>2697</v>
      </c>
    </row>
    <row r="2535" customFormat="false" ht="14.25" hidden="false" customHeight="false" outlineLevel="0" collapsed="false">
      <c r="A2535" s="24" t="n">
        <v>842010</v>
      </c>
      <c r="B2535" s="32" t="s">
        <v>2698</v>
      </c>
    </row>
    <row r="2536" customFormat="false" ht="16.4" hidden="false" customHeight="false" outlineLevel="0" collapsed="false">
      <c r="A2536" s="24" t="n">
        <v>842100</v>
      </c>
      <c r="B2536" s="32" t="s">
        <v>2699</v>
      </c>
    </row>
    <row r="2537" customFormat="false" ht="14.25" hidden="false" customHeight="false" outlineLevel="0" collapsed="false">
      <c r="A2537" s="24" t="n">
        <v>842150</v>
      </c>
      <c r="B2537" s="32" t="s">
        <v>2700</v>
      </c>
    </row>
    <row r="2538" customFormat="false" ht="16.4" hidden="false" customHeight="false" outlineLevel="0" collapsed="false">
      <c r="A2538" s="24" t="n">
        <v>842200</v>
      </c>
      <c r="B2538" s="32" t="s">
        <v>2701</v>
      </c>
    </row>
    <row r="2539" customFormat="false" ht="14.25" hidden="false" customHeight="false" outlineLevel="0" collapsed="false">
      <c r="A2539" s="24" t="n">
        <v>842250</v>
      </c>
      <c r="B2539" s="32" t="s">
        <v>2702</v>
      </c>
    </row>
    <row r="2540" customFormat="false" ht="14.25" hidden="false" customHeight="false" outlineLevel="0" collapsed="false">
      <c r="A2540" s="24" t="n">
        <v>842300</v>
      </c>
      <c r="B2540" s="32" t="s">
        <v>2703</v>
      </c>
    </row>
    <row r="2541" customFormat="false" ht="14.25" hidden="false" customHeight="false" outlineLevel="0" collapsed="false">
      <c r="A2541" s="24" t="n">
        <v>842350</v>
      </c>
      <c r="B2541" s="32" t="s">
        <v>2704</v>
      </c>
    </row>
    <row r="2542" customFormat="false" ht="14.25" hidden="false" customHeight="false" outlineLevel="0" collapsed="false">
      <c r="A2542" s="24" t="n">
        <v>842400</v>
      </c>
      <c r="B2542" s="32" t="s">
        <v>2705</v>
      </c>
    </row>
    <row r="2543" customFormat="false" ht="14.25" hidden="false" customHeight="false" outlineLevel="0" collapsed="false">
      <c r="A2543" s="24" t="n">
        <v>842450</v>
      </c>
      <c r="B2543" s="32" t="s">
        <v>2706</v>
      </c>
    </row>
    <row r="2544" customFormat="false" ht="14.25" hidden="false" customHeight="false" outlineLevel="0" collapsed="false">
      <c r="A2544" s="24" t="n">
        <v>842500</v>
      </c>
      <c r="B2544" s="32" t="s">
        <v>2707</v>
      </c>
    </row>
    <row r="2545" customFormat="false" ht="14.25" hidden="false" customHeight="false" outlineLevel="0" collapsed="false">
      <c r="A2545" s="24" t="n">
        <v>842550</v>
      </c>
      <c r="B2545" s="32" t="s">
        <v>2708</v>
      </c>
    </row>
    <row r="2546" customFormat="false" ht="14.25" hidden="false" customHeight="false" outlineLevel="0" collapsed="false">
      <c r="A2546" s="24" t="n">
        <v>842600</v>
      </c>
      <c r="B2546" s="32" t="s">
        <v>2709</v>
      </c>
    </row>
    <row r="2547" customFormat="false" ht="14.25" hidden="false" customHeight="false" outlineLevel="0" collapsed="false">
      <c r="A2547" s="24" t="n">
        <v>842650</v>
      </c>
      <c r="B2547" s="32" t="s">
        <v>2710</v>
      </c>
    </row>
    <row r="2548" customFormat="false" ht="16.4" hidden="false" customHeight="false" outlineLevel="0" collapsed="false">
      <c r="A2548" s="24" t="n">
        <v>842900</v>
      </c>
      <c r="B2548" s="32" t="s">
        <v>2711</v>
      </c>
    </row>
    <row r="2549" customFormat="false" ht="14.25" hidden="false" customHeight="false" outlineLevel="0" collapsed="false">
      <c r="A2549" s="24" t="n">
        <v>843200</v>
      </c>
      <c r="B2549" s="32" t="s">
        <v>2712</v>
      </c>
    </row>
    <row r="2550" customFormat="false" ht="14.25" hidden="false" customHeight="false" outlineLevel="0" collapsed="false">
      <c r="A2550" s="24" t="n">
        <v>843300</v>
      </c>
      <c r="B2550" s="32" t="s">
        <v>2713</v>
      </c>
    </row>
    <row r="2551" customFormat="false" ht="14.25" hidden="false" customHeight="false" outlineLevel="0" collapsed="false">
      <c r="A2551" s="24" t="n">
        <v>843310</v>
      </c>
      <c r="B2551" s="32" t="s">
        <v>2714</v>
      </c>
    </row>
    <row r="2552" customFormat="false" ht="14.25" hidden="false" customHeight="false" outlineLevel="0" collapsed="false">
      <c r="A2552" s="24" t="n">
        <v>843400</v>
      </c>
      <c r="B2552" s="32" t="s">
        <v>2715</v>
      </c>
    </row>
    <row r="2553" customFormat="false" ht="14.25" hidden="false" customHeight="false" outlineLevel="0" collapsed="false">
      <c r="A2553" s="24" t="n">
        <v>843500</v>
      </c>
      <c r="B2553" s="32" t="s">
        <v>2716</v>
      </c>
    </row>
    <row r="2554" customFormat="false" ht="14.25" hidden="false" customHeight="false" outlineLevel="0" collapsed="false">
      <c r="A2554" s="24" t="n">
        <v>843600</v>
      </c>
      <c r="B2554" s="32" t="s">
        <v>2717</v>
      </c>
    </row>
    <row r="2555" customFormat="false" ht="14.25" hidden="false" customHeight="false" outlineLevel="0" collapsed="false">
      <c r="A2555" s="24" t="n">
        <v>843700</v>
      </c>
      <c r="B2555" s="32" t="s">
        <v>2718</v>
      </c>
    </row>
    <row r="2556" customFormat="false" ht="14.25" hidden="false" customHeight="false" outlineLevel="0" collapsed="false">
      <c r="A2556" s="24" t="n">
        <v>843800</v>
      </c>
      <c r="B2556" s="32" t="s">
        <v>2719</v>
      </c>
    </row>
    <row r="2557" customFormat="false" ht="16.4" hidden="false" customHeight="false" outlineLevel="0" collapsed="false">
      <c r="A2557" s="24" t="n">
        <v>843900</v>
      </c>
      <c r="B2557" s="32" t="s">
        <v>2720</v>
      </c>
    </row>
    <row r="2558" customFormat="false" ht="16.4" hidden="false" customHeight="false" outlineLevel="0" collapsed="false">
      <c r="A2558" s="24" t="n">
        <v>844100</v>
      </c>
      <c r="B2558" s="32" t="s">
        <v>2721</v>
      </c>
    </row>
    <row r="2559" customFormat="false" ht="14.25" hidden="false" customHeight="false" outlineLevel="0" collapsed="false">
      <c r="A2559" s="24" t="n">
        <v>844300</v>
      </c>
      <c r="B2559" s="32" t="s">
        <v>2722</v>
      </c>
    </row>
    <row r="2560" customFormat="false" ht="16.4" hidden="false" customHeight="false" outlineLevel="0" collapsed="false">
      <c r="A2560" s="24" t="n">
        <v>849100</v>
      </c>
      <c r="B2560" s="32" t="s">
        <v>2723</v>
      </c>
    </row>
    <row r="2561" customFormat="false" ht="14.25" hidden="false" customHeight="false" outlineLevel="0" collapsed="false">
      <c r="A2561" s="24" t="n">
        <v>849170</v>
      </c>
      <c r="B2561" s="32" t="s">
        <v>2724</v>
      </c>
    </row>
    <row r="2562" customFormat="false" ht="14.25" hidden="false" customHeight="false" outlineLevel="0" collapsed="false">
      <c r="A2562" s="24" t="n">
        <v>849180</v>
      </c>
      <c r="B2562" s="32" t="s">
        <v>2725</v>
      </c>
    </row>
    <row r="2563" customFormat="false" ht="14.25" hidden="false" customHeight="false" outlineLevel="0" collapsed="false">
      <c r="A2563" s="24" t="n">
        <v>849190</v>
      </c>
      <c r="B2563" s="32" t="s">
        <v>2726</v>
      </c>
    </row>
    <row r="2564" customFormat="false" ht="14.25" hidden="false" customHeight="false" outlineLevel="0" collapsed="false">
      <c r="A2564" s="24" t="n">
        <v>849200</v>
      </c>
      <c r="B2564" s="32" t="s">
        <v>2727</v>
      </c>
    </row>
    <row r="2565" customFormat="false" ht="14.25" hidden="false" customHeight="false" outlineLevel="0" collapsed="false">
      <c r="A2565" s="24" t="n">
        <v>849300</v>
      </c>
      <c r="B2565" s="32" t="s">
        <v>2728</v>
      </c>
    </row>
    <row r="2566" customFormat="false" ht="14.25" hidden="false" customHeight="false" outlineLevel="0" collapsed="false">
      <c r="A2566" s="24" t="n">
        <v>849400</v>
      </c>
      <c r="B2566" s="32" t="s">
        <v>2729</v>
      </c>
    </row>
    <row r="2567" customFormat="false" ht="14.25" hidden="false" customHeight="false" outlineLevel="0" collapsed="false">
      <c r="A2567" s="24" t="n">
        <v>849500</v>
      </c>
      <c r="B2567" s="32" t="s">
        <v>2730</v>
      </c>
    </row>
    <row r="2568" customFormat="false" ht="16.4" hidden="false" customHeight="false" outlineLevel="0" collapsed="false">
      <c r="A2568" s="24" t="n">
        <v>849900</v>
      </c>
      <c r="B2568" s="32" t="s">
        <v>2731</v>
      </c>
    </row>
    <row r="2569" customFormat="false" ht="14.25" hidden="false" customHeight="false" outlineLevel="0" collapsed="false">
      <c r="A2569" s="24" t="n">
        <v>850000</v>
      </c>
      <c r="B2569" s="32" t="s">
        <v>2732</v>
      </c>
    </row>
    <row r="2570" customFormat="false" ht="14.25" hidden="false" customHeight="false" outlineLevel="0" collapsed="false">
      <c r="A2570" s="24" t="n">
        <v>851000</v>
      </c>
      <c r="B2570" s="32" t="s">
        <v>2733</v>
      </c>
    </row>
    <row r="2571" customFormat="false" ht="16.4" hidden="false" customHeight="false" outlineLevel="0" collapsed="false">
      <c r="A2571" s="24" t="n">
        <v>851100</v>
      </c>
      <c r="B2571" s="32" t="s">
        <v>2734</v>
      </c>
    </row>
    <row r="2572" customFormat="false" ht="14.25" hidden="false" customHeight="false" outlineLevel="0" collapsed="false">
      <c r="A2572" s="24" t="n">
        <v>851150</v>
      </c>
      <c r="B2572" s="32" t="s">
        <v>2735</v>
      </c>
    </row>
    <row r="2573" customFormat="false" ht="14.25" hidden="false" customHeight="false" outlineLevel="0" collapsed="false">
      <c r="A2573" s="24" t="n">
        <v>851200</v>
      </c>
      <c r="B2573" s="32" t="s">
        <v>2736</v>
      </c>
    </row>
    <row r="2574" customFormat="false" ht="14.25" hidden="false" customHeight="false" outlineLevel="0" collapsed="false">
      <c r="A2574" s="24" t="n">
        <v>851250</v>
      </c>
      <c r="B2574" s="32" t="s">
        <v>2737</v>
      </c>
    </row>
    <row r="2575" customFormat="false" ht="14.25" hidden="false" customHeight="false" outlineLevel="0" collapsed="false">
      <c r="A2575" s="24" t="n">
        <v>851300</v>
      </c>
      <c r="B2575" s="32" t="s">
        <v>2738</v>
      </c>
    </row>
    <row r="2576" customFormat="false" ht="14.25" hidden="false" customHeight="false" outlineLevel="0" collapsed="false">
      <c r="A2576" s="24" t="n">
        <v>851350</v>
      </c>
      <c r="B2576" s="32" t="s">
        <v>2739</v>
      </c>
    </row>
    <row r="2577" customFormat="false" ht="14.25" hidden="false" customHeight="false" outlineLevel="0" collapsed="false">
      <c r="A2577" s="24" t="n">
        <v>851400</v>
      </c>
      <c r="B2577" s="32" t="s">
        <v>2740</v>
      </c>
    </row>
    <row r="2578" customFormat="false" ht="14.25" hidden="false" customHeight="false" outlineLevel="0" collapsed="false">
      <c r="A2578" s="24" t="n">
        <v>851450</v>
      </c>
      <c r="B2578" s="32" t="s">
        <v>2741</v>
      </c>
    </row>
    <row r="2579" customFormat="false" ht="14.25" hidden="false" customHeight="false" outlineLevel="0" collapsed="false">
      <c r="A2579" s="24" t="n">
        <v>851500</v>
      </c>
      <c r="B2579" s="32" t="s">
        <v>2742</v>
      </c>
    </row>
    <row r="2580" customFormat="false" ht="14.25" hidden="false" customHeight="false" outlineLevel="0" collapsed="false">
      <c r="A2580" s="24" t="n">
        <v>851510</v>
      </c>
      <c r="B2580" s="32" t="s">
        <v>2743</v>
      </c>
    </row>
    <row r="2581" customFormat="false" ht="14.25" hidden="false" customHeight="false" outlineLevel="0" collapsed="false">
      <c r="A2581" s="24" t="n">
        <v>851550</v>
      </c>
      <c r="B2581" s="32" t="s">
        <v>2744</v>
      </c>
    </row>
    <row r="2582" customFormat="false" ht="14.25" hidden="false" customHeight="false" outlineLevel="0" collapsed="false">
      <c r="A2582" s="24" t="n">
        <v>851600</v>
      </c>
      <c r="B2582" s="32" t="s">
        <v>2745</v>
      </c>
    </row>
    <row r="2583" customFormat="false" ht="14.25" hidden="false" customHeight="false" outlineLevel="0" collapsed="false">
      <c r="A2583" s="24" t="n">
        <v>851650</v>
      </c>
      <c r="B2583" s="32" t="s">
        <v>2746</v>
      </c>
    </row>
    <row r="2584" customFormat="false" ht="14.25" hidden="false" customHeight="false" outlineLevel="0" collapsed="false">
      <c r="A2584" s="24" t="n">
        <v>851700</v>
      </c>
      <c r="B2584" s="32" t="s">
        <v>2747</v>
      </c>
    </row>
    <row r="2585" customFormat="false" ht="14.25" hidden="false" customHeight="false" outlineLevel="0" collapsed="false">
      <c r="A2585" s="24" t="n">
        <v>851800</v>
      </c>
      <c r="B2585" s="32" t="s">
        <v>2748</v>
      </c>
    </row>
    <row r="2586" customFormat="false" ht="16.4" hidden="false" customHeight="false" outlineLevel="0" collapsed="false">
      <c r="A2586" s="24" t="n">
        <v>851900</v>
      </c>
      <c r="B2586" s="32" t="s">
        <v>2749</v>
      </c>
    </row>
    <row r="2587" customFormat="false" ht="16.4" hidden="false" customHeight="false" outlineLevel="0" collapsed="false">
      <c r="A2587" s="24" t="n">
        <v>852100</v>
      </c>
      <c r="B2587" s="32" t="s">
        <v>2750</v>
      </c>
    </row>
    <row r="2588" customFormat="false" ht="14.25" hidden="false" customHeight="false" outlineLevel="0" collapsed="false">
      <c r="A2588" s="24" t="n">
        <v>852200</v>
      </c>
      <c r="B2588" s="32" t="s">
        <v>2751</v>
      </c>
    </row>
    <row r="2589" customFormat="false" ht="14.25" hidden="false" customHeight="false" outlineLevel="0" collapsed="false">
      <c r="A2589" s="24" t="n">
        <v>852300</v>
      </c>
      <c r="B2589" s="32" t="s">
        <v>2752</v>
      </c>
    </row>
    <row r="2590" customFormat="false" ht="14.25" hidden="false" customHeight="false" outlineLevel="0" collapsed="false">
      <c r="A2590" s="24" t="n">
        <v>852310</v>
      </c>
      <c r="B2590" s="32" t="s">
        <v>2753</v>
      </c>
    </row>
    <row r="2591" customFormat="false" ht="16.4" hidden="false" customHeight="false" outlineLevel="0" collapsed="false">
      <c r="A2591" s="24" t="n">
        <v>852400</v>
      </c>
      <c r="B2591" s="32" t="s">
        <v>2754</v>
      </c>
    </row>
    <row r="2592" customFormat="false" ht="16.4" hidden="false" customHeight="false" outlineLevel="0" collapsed="false">
      <c r="A2592" s="24" t="n">
        <v>852500</v>
      </c>
      <c r="B2592" s="32" t="s">
        <v>2755</v>
      </c>
    </row>
    <row r="2593" customFormat="false" ht="16.4" hidden="false" customHeight="false" outlineLevel="0" collapsed="false">
      <c r="A2593" s="24" t="n">
        <v>852600</v>
      </c>
      <c r="B2593" s="32" t="s">
        <v>2756</v>
      </c>
    </row>
    <row r="2594" customFormat="false" ht="16.4" hidden="false" customHeight="false" outlineLevel="0" collapsed="false">
      <c r="A2594" s="24" t="n">
        <v>852700</v>
      </c>
      <c r="B2594" s="32" t="s">
        <v>2757</v>
      </c>
    </row>
    <row r="2595" customFormat="false" ht="14.25" hidden="false" customHeight="false" outlineLevel="0" collapsed="false">
      <c r="A2595" s="24" t="n">
        <v>852900</v>
      </c>
      <c r="B2595" s="32" t="s">
        <v>2758</v>
      </c>
    </row>
    <row r="2596" customFormat="false" ht="16.4" hidden="false" customHeight="false" outlineLevel="0" collapsed="false">
      <c r="A2596" s="24" t="n">
        <v>853200</v>
      </c>
      <c r="B2596" s="32" t="s">
        <v>2759</v>
      </c>
    </row>
    <row r="2597" customFormat="false" ht="16.4" hidden="false" customHeight="false" outlineLevel="0" collapsed="false">
      <c r="A2597" s="24" t="n">
        <v>853300</v>
      </c>
      <c r="B2597" s="32" t="s">
        <v>2760</v>
      </c>
    </row>
    <row r="2598" customFormat="false" ht="14.25" hidden="false" customHeight="false" outlineLevel="0" collapsed="false">
      <c r="A2598" s="24" t="n">
        <v>853400</v>
      </c>
      <c r="B2598" s="32" t="s">
        <v>2761</v>
      </c>
    </row>
    <row r="2599" customFormat="false" ht="14.25" hidden="false" customHeight="false" outlineLevel="0" collapsed="false">
      <c r="A2599" s="24" t="n">
        <v>853410</v>
      </c>
      <c r="B2599" s="32" t="s">
        <v>2762</v>
      </c>
    </row>
    <row r="2600" customFormat="false" ht="14.25" hidden="false" customHeight="false" outlineLevel="0" collapsed="false">
      <c r="A2600" s="24" t="n">
        <v>853500</v>
      </c>
      <c r="B2600" s="32" t="s">
        <v>2763</v>
      </c>
    </row>
    <row r="2601" customFormat="false" ht="14.25" hidden="false" customHeight="false" outlineLevel="0" collapsed="false">
      <c r="A2601" s="24" t="n">
        <v>853600</v>
      </c>
      <c r="B2601" s="32" t="s">
        <v>2764</v>
      </c>
    </row>
    <row r="2602" customFormat="false" ht="14.25" hidden="false" customHeight="false" outlineLevel="0" collapsed="false">
      <c r="A2602" s="24" t="n">
        <v>853900</v>
      </c>
      <c r="B2602" s="32" t="s">
        <v>2765</v>
      </c>
    </row>
    <row r="2603" customFormat="false" ht="14.25" hidden="false" customHeight="false" outlineLevel="0" collapsed="false">
      <c r="A2603" s="24" t="n">
        <v>854200</v>
      </c>
      <c r="B2603" s="32" t="s">
        <v>2766</v>
      </c>
    </row>
    <row r="2604" customFormat="false" ht="16.4" hidden="false" customHeight="false" outlineLevel="0" collapsed="false">
      <c r="A2604" s="24" t="n">
        <v>854400</v>
      </c>
      <c r="B2604" s="32" t="s">
        <v>2767</v>
      </c>
    </row>
    <row r="2605" customFormat="false" ht="16.4" hidden="false" customHeight="false" outlineLevel="0" collapsed="false">
      <c r="A2605" s="24" t="n">
        <v>854900</v>
      </c>
      <c r="B2605" s="32" t="s">
        <v>2768</v>
      </c>
    </row>
    <row r="2606" customFormat="false" ht="14.25" hidden="false" customHeight="false" outlineLevel="0" collapsed="false">
      <c r="A2606" s="24" t="n">
        <v>855100</v>
      </c>
      <c r="B2606" s="32" t="s">
        <v>2769</v>
      </c>
    </row>
    <row r="2607" customFormat="false" ht="16.4" hidden="false" customHeight="false" outlineLevel="0" collapsed="false">
      <c r="A2607" s="24" t="n">
        <v>855200</v>
      </c>
      <c r="B2607" s="32" t="s">
        <v>2770</v>
      </c>
    </row>
    <row r="2608" customFormat="false" ht="16.4" hidden="false" customHeight="false" outlineLevel="0" collapsed="false">
      <c r="A2608" s="24" t="n">
        <v>855300</v>
      </c>
      <c r="B2608" s="32" t="s">
        <v>2771</v>
      </c>
    </row>
    <row r="2609" customFormat="false" ht="16.4" hidden="false" customHeight="false" outlineLevel="0" collapsed="false">
      <c r="A2609" s="24" t="n">
        <v>855400</v>
      </c>
      <c r="B2609" s="32" t="s">
        <v>2772</v>
      </c>
    </row>
    <row r="2610" customFormat="false" ht="16.4" hidden="false" customHeight="false" outlineLevel="0" collapsed="false">
      <c r="A2610" s="24" t="n">
        <v>855500</v>
      </c>
      <c r="B2610" s="32" t="s">
        <v>2773</v>
      </c>
    </row>
    <row r="2611" customFormat="false" ht="16.4" hidden="false" customHeight="false" outlineLevel="0" collapsed="false">
      <c r="A2611" s="24" t="n">
        <v>855600</v>
      </c>
      <c r="B2611" s="32" t="s">
        <v>2774</v>
      </c>
    </row>
    <row r="2612" customFormat="false" ht="16.4" hidden="false" customHeight="false" outlineLevel="0" collapsed="false">
      <c r="A2612" s="24" t="n">
        <v>855900</v>
      </c>
      <c r="B2612" s="32" t="s">
        <v>2775</v>
      </c>
    </row>
    <row r="2613" customFormat="false" ht="14.25" hidden="false" customHeight="false" outlineLevel="0" collapsed="false">
      <c r="A2613" s="24" t="n">
        <v>856200</v>
      </c>
      <c r="B2613" s="32" t="s">
        <v>2776</v>
      </c>
    </row>
    <row r="2614" customFormat="false" ht="14.25" hidden="false" customHeight="false" outlineLevel="0" collapsed="false">
      <c r="A2614" s="24" t="n">
        <v>856300</v>
      </c>
      <c r="B2614" s="32" t="s">
        <v>2777</v>
      </c>
    </row>
    <row r="2615" customFormat="false" ht="16.4" hidden="false" customHeight="false" outlineLevel="0" collapsed="false">
      <c r="A2615" s="24" t="n">
        <v>856400</v>
      </c>
      <c r="B2615" s="32" t="s">
        <v>2778</v>
      </c>
    </row>
    <row r="2616" customFormat="false" ht="16.4" hidden="false" customHeight="false" outlineLevel="0" collapsed="false">
      <c r="A2616" s="24" t="n">
        <v>856500</v>
      </c>
      <c r="B2616" s="32" t="s">
        <v>2779</v>
      </c>
    </row>
    <row r="2617" customFormat="false" ht="16.4" hidden="false" customHeight="false" outlineLevel="0" collapsed="false">
      <c r="A2617" s="24" t="n">
        <v>857200</v>
      </c>
      <c r="B2617" s="32" t="s">
        <v>2780</v>
      </c>
    </row>
    <row r="2618" customFormat="false" ht="16.4" hidden="false" customHeight="false" outlineLevel="0" collapsed="false">
      <c r="A2618" s="24" t="n">
        <v>857300</v>
      </c>
      <c r="B2618" s="32" t="s">
        <v>2781</v>
      </c>
    </row>
    <row r="2619" customFormat="false" ht="14.25" hidden="false" customHeight="false" outlineLevel="0" collapsed="false">
      <c r="A2619" s="24" t="n">
        <v>857400</v>
      </c>
      <c r="B2619" s="32" t="s">
        <v>2782</v>
      </c>
    </row>
    <row r="2620" customFormat="false" ht="16.4" hidden="false" customHeight="false" outlineLevel="0" collapsed="false">
      <c r="A2620" s="24" t="n">
        <v>857500</v>
      </c>
      <c r="B2620" s="32" t="s">
        <v>2783</v>
      </c>
    </row>
    <row r="2621" customFormat="false" ht="16.4" hidden="false" customHeight="false" outlineLevel="0" collapsed="false">
      <c r="A2621" s="24" t="n">
        <v>857600</v>
      </c>
      <c r="B2621" s="32" t="s">
        <v>2784</v>
      </c>
    </row>
    <row r="2622" customFormat="false" ht="14.25" hidden="false" customHeight="false" outlineLevel="0" collapsed="false">
      <c r="A2622" s="24" t="n">
        <v>857900</v>
      </c>
      <c r="B2622" s="32" t="s">
        <v>2785</v>
      </c>
    </row>
    <row r="2623" customFormat="false" ht="14.25" hidden="false" customHeight="false" outlineLevel="0" collapsed="false">
      <c r="A2623" s="24" t="n">
        <v>859200</v>
      </c>
      <c r="B2623" s="32" t="s">
        <v>2786</v>
      </c>
    </row>
    <row r="2624" customFormat="false" ht="14.25" hidden="false" customHeight="false" outlineLevel="0" collapsed="false">
      <c r="A2624" s="24" t="n">
        <v>859400</v>
      </c>
      <c r="B2624" s="32" t="s">
        <v>2787</v>
      </c>
    </row>
    <row r="2625" customFormat="false" ht="14.25" hidden="false" customHeight="false" outlineLevel="0" collapsed="false">
      <c r="A2625" s="24" t="n">
        <v>859900</v>
      </c>
      <c r="B2625" s="32" t="s">
        <v>2788</v>
      </c>
    </row>
    <row r="2626" customFormat="false" ht="14.25" hidden="false" customHeight="false" outlineLevel="0" collapsed="false">
      <c r="A2626" s="24" t="n">
        <v>861200</v>
      </c>
      <c r="B2626" s="32" t="s">
        <v>2789</v>
      </c>
    </row>
    <row r="2627" customFormat="false" ht="16.4" hidden="false" customHeight="false" outlineLevel="0" collapsed="false">
      <c r="A2627" s="24" t="n">
        <v>861300</v>
      </c>
      <c r="B2627" s="32" t="s">
        <v>2790</v>
      </c>
    </row>
    <row r="2628" customFormat="false" ht="14.25" hidden="false" customHeight="false" outlineLevel="0" collapsed="false">
      <c r="A2628" s="24" t="n">
        <v>861400</v>
      </c>
      <c r="B2628" s="32" t="s">
        <v>2791</v>
      </c>
    </row>
    <row r="2629" customFormat="false" ht="16.4" hidden="false" customHeight="false" outlineLevel="0" collapsed="false">
      <c r="A2629" s="24" t="n">
        <v>861900</v>
      </c>
      <c r="B2629" s="32" t="s">
        <v>2792</v>
      </c>
    </row>
    <row r="2630" customFormat="false" ht="14.25" hidden="false" customHeight="false" outlineLevel="0" collapsed="false">
      <c r="A2630" s="24" t="n">
        <v>862200</v>
      </c>
      <c r="B2630" s="32" t="s">
        <v>2793</v>
      </c>
    </row>
    <row r="2631" customFormat="false" ht="14.25" hidden="false" customHeight="false" outlineLevel="0" collapsed="false">
      <c r="A2631" s="24" t="n">
        <v>862300</v>
      </c>
      <c r="B2631" s="32" t="s">
        <v>2794</v>
      </c>
    </row>
    <row r="2632" customFormat="false" ht="14.25" hidden="false" customHeight="false" outlineLevel="0" collapsed="false">
      <c r="A2632" s="24" t="n">
        <v>862400</v>
      </c>
      <c r="B2632" s="32" t="s">
        <v>2795</v>
      </c>
    </row>
    <row r="2633" customFormat="false" ht="16.4" hidden="false" customHeight="false" outlineLevel="0" collapsed="false">
      <c r="A2633" s="24" t="n">
        <v>862900</v>
      </c>
      <c r="B2633" s="32" t="s">
        <v>2796</v>
      </c>
    </row>
    <row r="2634" customFormat="false" ht="14.25" hidden="false" customHeight="false" outlineLevel="0" collapsed="false">
      <c r="A2634" s="24" t="n">
        <v>871200</v>
      </c>
      <c r="B2634" s="32" t="s">
        <v>2797</v>
      </c>
    </row>
    <row r="2635" customFormat="false" ht="16.4" hidden="false" customHeight="false" outlineLevel="0" collapsed="false">
      <c r="A2635" s="24" t="n">
        <v>871300</v>
      </c>
      <c r="B2635" s="32" t="s">
        <v>2798</v>
      </c>
    </row>
    <row r="2636" customFormat="false" ht="16.4" hidden="false" customHeight="false" outlineLevel="0" collapsed="false">
      <c r="A2636" s="24" t="n">
        <v>871400</v>
      </c>
      <c r="B2636" s="33" t="s">
        <v>2799</v>
      </c>
    </row>
    <row r="2637" customFormat="false" ht="14.25" hidden="false" customHeight="false" outlineLevel="0" collapsed="false">
      <c r="A2637" s="24" t="n">
        <v>871500</v>
      </c>
      <c r="B2637" s="32" t="s">
        <v>2800</v>
      </c>
    </row>
    <row r="2638" customFormat="false" ht="14.25" hidden="false" customHeight="false" outlineLevel="0" collapsed="false">
      <c r="A2638" s="24" t="n">
        <v>871600</v>
      </c>
      <c r="B2638" s="32" t="s">
        <v>2801</v>
      </c>
    </row>
    <row r="2639" customFormat="false" ht="16.4" hidden="false" customHeight="false" outlineLevel="0" collapsed="false">
      <c r="A2639" s="24" t="n">
        <v>871900</v>
      </c>
      <c r="B2639" s="32" t="s">
        <v>2802</v>
      </c>
    </row>
    <row r="2640" customFormat="false" ht="14.25" hidden="false" customHeight="false" outlineLevel="0" collapsed="false">
      <c r="A2640" s="24" t="n">
        <v>871910</v>
      </c>
      <c r="B2640" s="32" t="s">
        <v>2803</v>
      </c>
    </row>
    <row r="2641" customFormat="false" ht="14.25" hidden="false" customHeight="false" outlineLevel="0" collapsed="false">
      <c r="A2641" s="24" t="n">
        <v>872000</v>
      </c>
      <c r="B2641" s="32" t="s">
        <v>2804</v>
      </c>
    </row>
    <row r="2642" customFormat="false" ht="14.25" hidden="false" customHeight="false" outlineLevel="0" collapsed="false">
      <c r="A2642" s="24" t="n">
        <v>872100</v>
      </c>
      <c r="B2642" s="32" t="s">
        <v>2805</v>
      </c>
    </row>
    <row r="2643" customFormat="false" ht="14.25" hidden="false" customHeight="false" outlineLevel="0" collapsed="false">
      <c r="A2643" s="24" t="n">
        <v>872150</v>
      </c>
      <c r="B2643" s="32" t="s">
        <v>2806</v>
      </c>
    </row>
    <row r="2644" customFormat="false" ht="14.25" hidden="false" customHeight="false" outlineLevel="0" collapsed="false">
      <c r="A2644" s="24" t="n">
        <v>872200</v>
      </c>
      <c r="B2644" s="32" t="s">
        <v>2807</v>
      </c>
    </row>
    <row r="2645" customFormat="false" ht="14.25" hidden="false" customHeight="false" outlineLevel="0" collapsed="false">
      <c r="A2645" s="24" t="n">
        <v>872250</v>
      </c>
      <c r="B2645" s="32" t="s">
        <v>2808</v>
      </c>
    </row>
    <row r="2646" customFormat="false" ht="14.25" hidden="false" customHeight="false" outlineLevel="0" collapsed="false">
      <c r="A2646" s="24" t="n">
        <v>872300</v>
      </c>
      <c r="B2646" s="32" t="s">
        <v>2809</v>
      </c>
    </row>
    <row r="2647" customFormat="false" ht="14.25" hidden="false" customHeight="false" outlineLevel="0" collapsed="false">
      <c r="A2647" s="24" t="n">
        <v>872350</v>
      </c>
      <c r="B2647" s="32" t="s">
        <v>2810</v>
      </c>
    </row>
    <row r="2648" customFormat="false" ht="14.25" hidden="false" customHeight="false" outlineLevel="0" collapsed="false">
      <c r="A2648" s="24" t="n">
        <v>872400</v>
      </c>
      <c r="B2648" s="32" t="s">
        <v>2811</v>
      </c>
    </row>
    <row r="2649" customFormat="false" ht="14.25" hidden="false" customHeight="false" outlineLevel="0" collapsed="false">
      <c r="A2649" s="24" t="n">
        <v>872450</v>
      </c>
      <c r="B2649" s="32" t="s">
        <v>2812</v>
      </c>
    </row>
    <row r="2650" customFormat="false" ht="14.25" hidden="false" customHeight="false" outlineLevel="0" collapsed="false">
      <c r="A2650" s="24" t="n">
        <v>872460</v>
      </c>
      <c r="B2650" s="32" t="s">
        <v>2813</v>
      </c>
    </row>
    <row r="2651" customFormat="false" ht="14.25" hidden="false" customHeight="false" outlineLevel="0" collapsed="false">
      <c r="A2651" s="24" t="n">
        <v>872500</v>
      </c>
      <c r="B2651" s="32" t="s">
        <v>2814</v>
      </c>
    </row>
    <row r="2652" customFormat="false" ht="14.25" hidden="false" customHeight="false" outlineLevel="0" collapsed="false">
      <c r="A2652" s="24" t="n">
        <v>872900</v>
      </c>
      <c r="B2652" s="32" t="s">
        <v>2815</v>
      </c>
    </row>
    <row r="2653" customFormat="false" ht="14.25" hidden="false" customHeight="false" outlineLevel="0" collapsed="false">
      <c r="A2653" s="24" t="n">
        <v>873000</v>
      </c>
      <c r="B2653" s="32" t="s">
        <v>2816</v>
      </c>
    </row>
    <row r="2654" customFormat="false" ht="16.4" hidden="false" customHeight="false" outlineLevel="0" collapsed="false">
      <c r="A2654" s="24" t="n">
        <v>873100</v>
      </c>
      <c r="B2654" s="32" t="s">
        <v>2817</v>
      </c>
    </row>
    <row r="2655" customFormat="false" ht="16.4" hidden="false" customHeight="false" outlineLevel="0" collapsed="false">
      <c r="A2655" s="24" t="n">
        <v>873200</v>
      </c>
      <c r="B2655" s="32" t="s">
        <v>2818</v>
      </c>
    </row>
    <row r="2656" customFormat="false" ht="14.25" hidden="false" customHeight="false" outlineLevel="0" collapsed="false">
      <c r="A2656" s="24" t="n">
        <v>873210</v>
      </c>
      <c r="B2656" s="32" t="s">
        <v>2819</v>
      </c>
    </row>
    <row r="2657" customFormat="false" ht="16.4" hidden="false" customHeight="false" outlineLevel="0" collapsed="false">
      <c r="A2657" s="24" t="n">
        <v>873300</v>
      </c>
      <c r="B2657" s="33" t="s">
        <v>2820</v>
      </c>
    </row>
    <row r="2658" customFormat="false" ht="14.25" hidden="false" customHeight="false" outlineLevel="0" collapsed="false">
      <c r="A2658" s="24" t="n">
        <v>873400</v>
      </c>
      <c r="B2658" s="32" t="s">
        <v>2821</v>
      </c>
    </row>
    <row r="2659" customFormat="false" ht="16.4" hidden="false" customHeight="false" outlineLevel="0" collapsed="false">
      <c r="A2659" s="24" t="n">
        <v>873500</v>
      </c>
      <c r="B2659" s="32" t="s">
        <v>2822</v>
      </c>
    </row>
    <row r="2660" customFormat="false" ht="16.4" hidden="false" customHeight="false" outlineLevel="0" collapsed="false">
      <c r="A2660" s="24" t="n">
        <v>873600</v>
      </c>
      <c r="B2660" s="32" t="s">
        <v>2823</v>
      </c>
    </row>
    <row r="2661" customFormat="false" ht="16.4" hidden="false" customHeight="false" outlineLevel="0" collapsed="false">
      <c r="A2661" s="24" t="n">
        <v>873700</v>
      </c>
      <c r="B2661" s="32" t="s">
        <v>2824</v>
      </c>
    </row>
    <row r="2662" customFormat="false" ht="14.25" hidden="false" customHeight="false" outlineLevel="0" collapsed="false">
      <c r="A2662" s="24" t="n">
        <v>873900</v>
      </c>
      <c r="B2662" s="32" t="s">
        <v>2825</v>
      </c>
    </row>
    <row r="2663" customFormat="false" ht="16.4" hidden="false" customHeight="false" outlineLevel="0" collapsed="false">
      <c r="A2663" s="24" t="n">
        <v>874150</v>
      </c>
      <c r="B2663" s="32" t="s">
        <v>2826</v>
      </c>
    </row>
    <row r="2664" customFormat="false" ht="14.25" hidden="false" customHeight="false" outlineLevel="0" collapsed="false">
      <c r="A2664" s="24" t="n">
        <v>874200</v>
      </c>
      <c r="B2664" s="32" t="s">
        <v>2827</v>
      </c>
    </row>
    <row r="2665" customFormat="false" ht="16.4" hidden="false" customHeight="false" outlineLevel="0" collapsed="false">
      <c r="A2665" s="24" t="n">
        <v>874250</v>
      </c>
      <c r="B2665" s="32" t="s">
        <v>2828</v>
      </c>
    </row>
    <row r="2666" customFormat="false" ht="14.25" hidden="false" customHeight="false" outlineLevel="0" collapsed="false">
      <c r="A2666" s="24" t="n">
        <v>874290</v>
      </c>
      <c r="B2666" s="32" t="s">
        <v>2829</v>
      </c>
    </row>
    <row r="2667" customFormat="false" ht="14.25" hidden="false" customHeight="false" outlineLevel="0" collapsed="false">
      <c r="A2667" s="24" t="n">
        <v>874300</v>
      </c>
      <c r="B2667" s="32" t="s">
        <v>2830</v>
      </c>
    </row>
    <row r="2668" customFormat="false" ht="14.25" hidden="false" customHeight="false" outlineLevel="0" collapsed="false">
      <c r="A2668" s="24" t="n">
        <v>874350</v>
      </c>
      <c r="B2668" s="32" t="s">
        <v>2831</v>
      </c>
    </row>
    <row r="2669" customFormat="false" ht="14.25" hidden="false" customHeight="false" outlineLevel="0" collapsed="false">
      <c r="A2669" s="24" t="n">
        <v>874400</v>
      </c>
      <c r="B2669" s="32" t="s">
        <v>2832</v>
      </c>
    </row>
    <row r="2670" customFormat="false" ht="14.25" hidden="false" customHeight="false" outlineLevel="0" collapsed="false">
      <c r="A2670" s="24" t="n">
        <v>874410</v>
      </c>
      <c r="B2670" s="32" t="s">
        <v>2833</v>
      </c>
    </row>
    <row r="2671" customFormat="false" ht="14.25" hidden="false" customHeight="false" outlineLevel="0" collapsed="false">
      <c r="A2671" s="24" t="n">
        <v>874450</v>
      </c>
      <c r="B2671" s="32" t="s">
        <v>2834</v>
      </c>
    </row>
    <row r="2672" customFormat="false" ht="16.4" hidden="false" customHeight="false" outlineLevel="0" collapsed="false">
      <c r="A2672" s="24" t="n">
        <v>874500</v>
      </c>
      <c r="B2672" s="32" t="s">
        <v>2835</v>
      </c>
    </row>
    <row r="2673" customFormat="false" ht="16.4" hidden="false" customHeight="false" outlineLevel="0" collapsed="false">
      <c r="A2673" s="24" t="n">
        <v>874550</v>
      </c>
      <c r="B2673" s="32" t="s">
        <v>2836</v>
      </c>
    </row>
    <row r="2674" customFormat="false" ht="16.4" hidden="false" customHeight="false" outlineLevel="0" collapsed="false">
      <c r="A2674" s="24" t="n">
        <v>874900</v>
      </c>
      <c r="B2674" s="32" t="s">
        <v>2837</v>
      </c>
    </row>
    <row r="2675" customFormat="false" ht="16.4" hidden="false" customHeight="false" outlineLevel="0" collapsed="false">
      <c r="A2675" s="24" t="n">
        <v>880100</v>
      </c>
      <c r="B2675" s="32" t="s">
        <v>2838</v>
      </c>
    </row>
    <row r="2676" customFormat="false" ht="14.25" hidden="false" customHeight="false" outlineLevel="0" collapsed="false">
      <c r="A2676" s="24" t="n">
        <v>880200</v>
      </c>
      <c r="B2676" s="32" t="s">
        <v>2839</v>
      </c>
    </row>
    <row r="2677" customFormat="false" ht="14.25" hidden="false" customHeight="false" outlineLevel="0" collapsed="false">
      <c r="A2677" s="24" t="n">
        <v>880300</v>
      </c>
      <c r="B2677" s="32" t="s">
        <v>2840</v>
      </c>
    </row>
    <row r="2678" customFormat="false" ht="16.4" hidden="false" customHeight="false" outlineLevel="0" collapsed="false">
      <c r="A2678" s="24" t="n">
        <v>880400</v>
      </c>
      <c r="B2678" s="32" t="s">
        <v>2841</v>
      </c>
    </row>
    <row r="2679" customFormat="false" ht="14.25" hidden="false" customHeight="false" outlineLevel="0" collapsed="false">
      <c r="A2679" s="24" t="n">
        <v>880500</v>
      </c>
      <c r="B2679" s="32" t="s">
        <v>2842</v>
      </c>
    </row>
    <row r="2680" customFormat="false" ht="16.4" hidden="false" customHeight="false" outlineLevel="0" collapsed="false">
      <c r="A2680" s="24" t="n">
        <v>880600</v>
      </c>
      <c r="B2680" s="32" t="s">
        <v>2843</v>
      </c>
    </row>
    <row r="2681" customFormat="false" ht="14.25" hidden="false" customHeight="false" outlineLevel="0" collapsed="false">
      <c r="A2681" s="24" t="n">
        <v>880700</v>
      </c>
      <c r="B2681" s="32" t="s">
        <v>2844</v>
      </c>
    </row>
    <row r="2682" customFormat="false" ht="14.25" hidden="false" customHeight="false" outlineLevel="0" collapsed="false">
      <c r="A2682" s="24" t="n">
        <v>880800</v>
      </c>
      <c r="B2682" s="32" t="s">
        <v>2845</v>
      </c>
    </row>
    <row r="2683" customFormat="false" ht="16.4" hidden="false" customHeight="false" outlineLevel="0" collapsed="false">
      <c r="A2683" s="24" t="n">
        <v>880900</v>
      </c>
      <c r="B2683" s="32" t="s">
        <v>2846</v>
      </c>
    </row>
    <row r="2684" customFormat="false" ht="16.4" hidden="false" customHeight="false" outlineLevel="0" collapsed="false">
      <c r="A2684" s="24" t="n">
        <v>891200</v>
      </c>
      <c r="B2684" s="32" t="s">
        <v>2847</v>
      </c>
    </row>
    <row r="2685" customFormat="false" ht="14.25" hidden="false" customHeight="false" outlineLevel="0" collapsed="false">
      <c r="A2685" s="24" t="n">
        <v>891220</v>
      </c>
      <c r="B2685" s="32" t="s">
        <v>2848</v>
      </c>
    </row>
    <row r="2686" customFormat="false" ht="14.25" hidden="false" customHeight="false" outlineLevel="0" collapsed="false">
      <c r="A2686" s="24" t="n">
        <v>891240</v>
      </c>
      <c r="B2686" s="32" t="s">
        <v>2849</v>
      </c>
    </row>
    <row r="2687" customFormat="false" ht="14.25" hidden="false" customHeight="false" outlineLevel="0" collapsed="false">
      <c r="A2687" s="24" t="n">
        <v>891260</v>
      </c>
      <c r="B2687" s="32" t="s">
        <v>2850</v>
      </c>
    </row>
    <row r="2688" customFormat="false" ht="14.25" hidden="false" customHeight="false" outlineLevel="0" collapsed="false">
      <c r="A2688" s="24" t="n">
        <v>891280</v>
      </c>
      <c r="B2688" s="32" t="s">
        <v>2851</v>
      </c>
    </row>
    <row r="2689" customFormat="false" ht="14.25" hidden="false" customHeight="false" outlineLevel="0" collapsed="false">
      <c r="A2689" s="24" t="n">
        <v>891300</v>
      </c>
      <c r="B2689" s="32" t="s">
        <v>2852</v>
      </c>
    </row>
    <row r="2690" customFormat="false" ht="14.25" hidden="false" customHeight="false" outlineLevel="0" collapsed="false">
      <c r="A2690" s="24" t="n">
        <v>891320</v>
      </c>
      <c r="B2690" s="32" t="s">
        <v>2853</v>
      </c>
    </row>
    <row r="2691" customFormat="false" ht="14.25" hidden="false" customHeight="false" outlineLevel="0" collapsed="false">
      <c r="A2691" s="24" t="n">
        <v>891340</v>
      </c>
      <c r="B2691" s="32" t="s">
        <v>2854</v>
      </c>
    </row>
    <row r="2692" customFormat="false" ht="14.25" hidden="false" customHeight="false" outlineLevel="0" collapsed="false">
      <c r="A2692" s="24" t="n">
        <v>891360</v>
      </c>
      <c r="B2692" s="32" t="s">
        <v>2855</v>
      </c>
    </row>
    <row r="2693" customFormat="false" ht="16.4" hidden="false" customHeight="false" outlineLevel="0" collapsed="false">
      <c r="A2693" s="24" t="n">
        <v>891380</v>
      </c>
      <c r="B2693" s="32" t="s">
        <v>2856</v>
      </c>
    </row>
    <row r="2694" customFormat="false" ht="14.25" hidden="false" customHeight="false" outlineLevel="0" collapsed="false">
      <c r="A2694" s="24" t="n">
        <v>891400</v>
      </c>
      <c r="B2694" s="32" t="s">
        <v>2857</v>
      </c>
    </row>
    <row r="2695" customFormat="false" ht="14.25" hidden="false" customHeight="false" outlineLevel="0" collapsed="false">
      <c r="A2695" s="24" t="n">
        <v>891420</v>
      </c>
      <c r="B2695" s="32" t="s">
        <v>2858</v>
      </c>
    </row>
    <row r="2696" customFormat="false" ht="14.25" hidden="false" customHeight="false" outlineLevel="0" collapsed="false">
      <c r="A2696" s="24" t="n">
        <v>891440</v>
      </c>
      <c r="B2696" s="32" t="s">
        <v>2859</v>
      </c>
    </row>
    <row r="2697" customFormat="false" ht="14.25" hidden="false" customHeight="false" outlineLevel="0" collapsed="false">
      <c r="A2697" s="24" t="n">
        <v>891460</v>
      </c>
      <c r="B2697" s="32" t="s">
        <v>2860</v>
      </c>
    </row>
    <row r="2698" customFormat="false" ht="14.25" hidden="false" customHeight="false" outlineLevel="0" collapsed="false">
      <c r="A2698" s="24" t="n">
        <v>891480</v>
      </c>
      <c r="B2698" s="32" t="s">
        <v>2861</v>
      </c>
    </row>
    <row r="2699" customFormat="false" ht="14.25" hidden="false" customHeight="false" outlineLevel="0" collapsed="false">
      <c r="A2699" s="24" t="n">
        <v>891500</v>
      </c>
      <c r="B2699" s="32" t="s">
        <v>2862</v>
      </c>
    </row>
    <row r="2700" customFormat="false" ht="14.25" hidden="false" customHeight="false" outlineLevel="0" collapsed="false">
      <c r="A2700" s="24" t="n">
        <v>891520</v>
      </c>
      <c r="B2700" s="32" t="s">
        <v>2863</v>
      </c>
    </row>
    <row r="2701" customFormat="false" ht="14.25" hidden="false" customHeight="false" outlineLevel="0" collapsed="false">
      <c r="A2701" s="24" t="n">
        <v>891540</v>
      </c>
      <c r="B2701" s="32" t="s">
        <v>2864</v>
      </c>
    </row>
    <row r="2702" customFormat="false" ht="14.25" hidden="false" customHeight="false" outlineLevel="0" collapsed="false">
      <c r="A2702" s="24" t="n">
        <v>891900</v>
      </c>
      <c r="B2702" s="32" t="s">
        <v>2865</v>
      </c>
    </row>
    <row r="2703" customFormat="false" ht="16.4" hidden="false" customHeight="false" outlineLevel="0" collapsed="false">
      <c r="A2703" s="24" t="n">
        <v>892100</v>
      </c>
      <c r="B2703" s="32" t="s">
        <v>2866</v>
      </c>
    </row>
    <row r="2704" customFormat="false" ht="14.25" hidden="false" customHeight="false" outlineLevel="0" collapsed="false">
      <c r="A2704" s="24" t="n">
        <v>892150</v>
      </c>
      <c r="B2704" s="32" t="s">
        <v>2867</v>
      </c>
    </row>
    <row r="2705" customFormat="false" ht="14.25" hidden="false" customHeight="false" outlineLevel="0" collapsed="false">
      <c r="A2705" s="24" t="n">
        <v>892160</v>
      </c>
      <c r="B2705" s="32" t="s">
        <v>2868</v>
      </c>
    </row>
    <row r="2706" customFormat="false" ht="14.25" hidden="false" customHeight="false" outlineLevel="0" collapsed="false">
      <c r="A2706" s="24" t="n">
        <v>892200</v>
      </c>
      <c r="B2706" s="32" t="s">
        <v>2869</v>
      </c>
    </row>
    <row r="2707" customFormat="false" ht="14.25" hidden="false" customHeight="false" outlineLevel="0" collapsed="false">
      <c r="A2707" s="24" t="n">
        <v>892250</v>
      </c>
      <c r="B2707" s="32" t="s">
        <v>2870</v>
      </c>
    </row>
    <row r="2708" customFormat="false" ht="14.25" hidden="false" customHeight="false" outlineLevel="0" collapsed="false">
      <c r="A2708" s="24" t="n">
        <v>892300</v>
      </c>
      <c r="B2708" s="32" t="s">
        <v>2871</v>
      </c>
    </row>
    <row r="2709" customFormat="false" ht="14.25" hidden="false" customHeight="false" outlineLevel="0" collapsed="false">
      <c r="A2709" s="24" t="n">
        <v>892350</v>
      </c>
      <c r="B2709" s="32" t="s">
        <v>2872</v>
      </c>
    </row>
    <row r="2710" customFormat="false" ht="14.25" hidden="false" customHeight="false" outlineLevel="0" collapsed="false">
      <c r="A2710" s="24" t="n">
        <v>892400</v>
      </c>
      <c r="B2710" s="32" t="s">
        <v>2873</v>
      </c>
    </row>
    <row r="2711" customFormat="false" ht="14.25" hidden="false" customHeight="false" outlineLevel="0" collapsed="false">
      <c r="A2711" s="24" t="n">
        <v>892450</v>
      </c>
      <c r="B2711" s="32" t="s">
        <v>2874</v>
      </c>
    </row>
    <row r="2712" customFormat="false" ht="14.25" hidden="false" customHeight="false" outlineLevel="0" collapsed="false">
      <c r="A2712" s="24" t="n">
        <v>892500</v>
      </c>
      <c r="B2712" s="32" t="s">
        <v>2875</v>
      </c>
    </row>
    <row r="2713" customFormat="false" ht="14.25" hidden="false" customHeight="false" outlineLevel="0" collapsed="false">
      <c r="A2713" s="24" t="n">
        <v>892900</v>
      </c>
      <c r="B2713" s="32" t="s">
        <v>2876</v>
      </c>
    </row>
    <row r="2714" customFormat="false" ht="14.25" hidden="false" customHeight="false" outlineLevel="0" collapsed="false">
      <c r="A2714" s="24" t="n">
        <v>893200</v>
      </c>
      <c r="B2714" s="32" t="s">
        <v>2877</v>
      </c>
    </row>
    <row r="2715" customFormat="false" ht="14.25" hidden="false" customHeight="false" outlineLevel="0" collapsed="false">
      <c r="A2715" s="24" t="n">
        <v>893300</v>
      </c>
      <c r="B2715" s="32" t="s">
        <v>2878</v>
      </c>
    </row>
    <row r="2716" customFormat="false" ht="14.25" hidden="false" customHeight="false" outlineLevel="0" collapsed="false">
      <c r="A2716" s="24" t="n">
        <v>893400</v>
      </c>
      <c r="B2716" s="32" t="s">
        <v>2879</v>
      </c>
    </row>
    <row r="2717" customFormat="false" ht="14.25" hidden="false" customHeight="false" outlineLevel="0" collapsed="false">
      <c r="A2717" s="24" t="n">
        <v>893500</v>
      </c>
      <c r="B2717" s="32" t="s">
        <v>2880</v>
      </c>
    </row>
    <row r="2718" customFormat="false" ht="14.25" hidden="false" customHeight="false" outlineLevel="0" collapsed="false">
      <c r="A2718" s="24" t="n">
        <v>893900</v>
      </c>
      <c r="B2718" s="32" t="s">
        <v>2881</v>
      </c>
    </row>
    <row r="2719" customFormat="false" ht="14.25" hidden="false" customHeight="false" outlineLevel="0" collapsed="false">
      <c r="A2719" s="24" t="n">
        <v>894200</v>
      </c>
      <c r="B2719" s="32" t="s">
        <v>2882</v>
      </c>
    </row>
    <row r="2720" customFormat="false" ht="14.25" hidden="false" customHeight="false" outlineLevel="0" collapsed="false">
      <c r="A2720" s="24" t="n">
        <v>894300</v>
      </c>
      <c r="B2720" s="32" t="s">
        <v>2883</v>
      </c>
    </row>
    <row r="2721" customFormat="false" ht="14.25" hidden="false" customHeight="false" outlineLevel="0" collapsed="false">
      <c r="A2721" s="24" t="n">
        <v>894400</v>
      </c>
      <c r="B2721" s="32" t="s">
        <v>2884</v>
      </c>
    </row>
    <row r="2722" customFormat="false" ht="16.4" hidden="false" customHeight="false" outlineLevel="0" collapsed="false">
      <c r="A2722" s="24" t="n">
        <v>894900</v>
      </c>
      <c r="B2722" s="32" t="s">
        <v>2885</v>
      </c>
    </row>
    <row r="2723" customFormat="false" ht="14.25" hidden="false" customHeight="false" outlineLevel="0" collapsed="false">
      <c r="A2723" s="24" t="n">
        <v>895200</v>
      </c>
      <c r="B2723" s="32" t="s">
        <v>2886</v>
      </c>
    </row>
    <row r="2724" customFormat="false" ht="14.25" hidden="false" customHeight="false" outlineLevel="0" collapsed="false">
      <c r="A2724" s="24" t="n">
        <v>895300</v>
      </c>
      <c r="B2724" s="32" t="s">
        <v>2887</v>
      </c>
    </row>
    <row r="2725" customFormat="false" ht="14.25" hidden="false" customHeight="false" outlineLevel="0" collapsed="false">
      <c r="A2725" s="24" t="n">
        <v>895400</v>
      </c>
      <c r="B2725" s="32" t="s">
        <v>2888</v>
      </c>
    </row>
    <row r="2726" customFormat="false" ht="14.25" hidden="false" customHeight="false" outlineLevel="0" collapsed="false">
      <c r="A2726" s="24" t="n">
        <v>895500</v>
      </c>
      <c r="B2726" s="32" t="s">
        <v>2889</v>
      </c>
    </row>
    <row r="2727" customFormat="false" ht="14.25" hidden="false" customHeight="false" outlineLevel="0" collapsed="false">
      <c r="A2727" s="24" t="n">
        <v>895600</v>
      </c>
      <c r="B2727" s="32" t="s">
        <v>2890</v>
      </c>
    </row>
    <row r="2728" customFormat="false" ht="16.4" hidden="false" customHeight="false" outlineLevel="0" collapsed="false">
      <c r="A2728" s="24" t="n">
        <v>895900</v>
      </c>
      <c r="B2728" s="32" t="s">
        <v>2891</v>
      </c>
    </row>
    <row r="2729" customFormat="false" ht="14.25" hidden="false" customHeight="false" outlineLevel="0" collapsed="false">
      <c r="A2729" s="24" t="n">
        <v>896000</v>
      </c>
      <c r="B2729" s="32" t="s">
        <v>2892</v>
      </c>
    </row>
    <row r="2730" customFormat="false" ht="14.25" hidden="false" customHeight="false" outlineLevel="0" collapsed="false">
      <c r="A2730" s="24" t="n">
        <v>899200</v>
      </c>
      <c r="B2730" s="32" t="s">
        <v>2893</v>
      </c>
    </row>
    <row r="2731" customFormat="false" ht="14.25" hidden="false" customHeight="false" outlineLevel="0" collapsed="false">
      <c r="A2731" s="24" t="n">
        <v>899300</v>
      </c>
      <c r="B2731" s="32" t="s">
        <v>2894</v>
      </c>
    </row>
    <row r="2732" customFormat="false" ht="14.25" hidden="false" customHeight="false" outlineLevel="0" collapsed="false">
      <c r="A2732" s="24" t="n">
        <v>899400</v>
      </c>
      <c r="B2732" s="32" t="s">
        <v>2895</v>
      </c>
    </row>
    <row r="2733" customFormat="false" ht="14.25" hidden="false" customHeight="false" outlineLevel="0" collapsed="false">
      <c r="A2733" s="24" t="n">
        <v>899500</v>
      </c>
      <c r="B2733" s="32" t="s">
        <v>2896</v>
      </c>
    </row>
    <row r="2734" customFormat="false" ht="14.25" hidden="false" customHeight="false" outlineLevel="0" collapsed="false">
      <c r="A2734" s="24" t="n">
        <v>899600</v>
      </c>
      <c r="B2734" s="32" t="s">
        <v>2897</v>
      </c>
    </row>
    <row r="2735" customFormat="false" ht="16.4" hidden="false" customHeight="false" outlineLevel="0" collapsed="false">
      <c r="A2735" s="24" t="n">
        <v>899900</v>
      </c>
      <c r="B2735" s="32" t="s">
        <v>2898</v>
      </c>
    </row>
    <row r="2736" customFormat="false" ht="14.25" hidden="false" customHeight="false" outlineLevel="0" collapsed="false">
      <c r="A2736" s="24" t="n">
        <v>901150</v>
      </c>
      <c r="B2736" s="32" t="s">
        <v>2899</v>
      </c>
    </row>
    <row r="2737" customFormat="false" ht="14.25" hidden="false" customHeight="false" outlineLevel="0" collapsed="false">
      <c r="A2737" s="24" t="n">
        <v>901200</v>
      </c>
      <c r="B2737" s="32" t="s">
        <v>2900</v>
      </c>
    </row>
    <row r="2738" customFormat="false" ht="14.25" hidden="false" customHeight="false" outlineLevel="0" collapsed="false">
      <c r="A2738" s="24" t="n">
        <v>901250</v>
      </c>
      <c r="B2738" s="32" t="s">
        <v>2901</v>
      </c>
    </row>
    <row r="2739" customFormat="false" ht="14.25" hidden="false" customHeight="false" outlineLevel="0" collapsed="false">
      <c r="A2739" s="24" t="n">
        <v>901300</v>
      </c>
      <c r="B2739" s="32" t="s">
        <v>2902</v>
      </c>
    </row>
    <row r="2740" customFormat="false" ht="14.25" hidden="false" customHeight="false" outlineLevel="0" collapsed="false">
      <c r="A2740" s="24" t="n">
        <v>901350</v>
      </c>
      <c r="B2740" s="32" t="s">
        <v>2903</v>
      </c>
    </row>
    <row r="2741" customFormat="false" ht="14.25" hidden="false" customHeight="false" outlineLevel="0" collapsed="false">
      <c r="A2741" s="24" t="n">
        <v>901400</v>
      </c>
      <c r="B2741" s="32" t="s">
        <v>2904</v>
      </c>
    </row>
    <row r="2742" customFormat="false" ht="14.25" hidden="false" customHeight="false" outlineLevel="0" collapsed="false">
      <c r="A2742" s="24" t="n">
        <v>901450</v>
      </c>
      <c r="B2742" s="32" t="s">
        <v>2905</v>
      </c>
    </row>
    <row r="2743" customFormat="false" ht="14.25" hidden="false" customHeight="false" outlineLevel="0" collapsed="false">
      <c r="A2743" s="24" t="n">
        <v>901500</v>
      </c>
      <c r="B2743" s="32" t="s">
        <v>2906</v>
      </c>
    </row>
    <row r="2744" customFormat="false" ht="14.25" hidden="false" customHeight="false" outlineLevel="0" collapsed="false">
      <c r="A2744" s="24" t="n">
        <v>901550</v>
      </c>
      <c r="B2744" s="32" t="s">
        <v>2907</v>
      </c>
    </row>
    <row r="2745" customFormat="false" ht="14.25" hidden="false" customHeight="false" outlineLevel="0" collapsed="false">
      <c r="A2745" s="24" t="n">
        <v>901600</v>
      </c>
      <c r="B2745" s="32" t="s">
        <v>2908</v>
      </c>
    </row>
    <row r="2746" customFormat="false" ht="14.25" hidden="false" customHeight="false" outlineLevel="0" collapsed="false">
      <c r="A2746" s="24" t="n">
        <v>901900</v>
      </c>
      <c r="B2746" s="32" t="s">
        <v>2909</v>
      </c>
    </row>
    <row r="2747" customFormat="false" ht="14.25" hidden="false" customHeight="false" outlineLevel="0" collapsed="false">
      <c r="A2747" s="24" t="n">
        <v>902200</v>
      </c>
      <c r="B2747" s="32" t="s">
        <v>2910</v>
      </c>
    </row>
    <row r="2748" customFormat="false" ht="14.25" hidden="false" customHeight="false" outlineLevel="0" collapsed="false">
      <c r="A2748" s="24" t="n">
        <v>902300</v>
      </c>
      <c r="B2748" s="32" t="s">
        <v>2911</v>
      </c>
    </row>
    <row r="2749" customFormat="false" ht="14.25" hidden="false" customHeight="false" outlineLevel="0" collapsed="false">
      <c r="A2749" s="24" t="n">
        <v>902400</v>
      </c>
      <c r="B2749" s="32" t="s">
        <v>2912</v>
      </c>
    </row>
    <row r="2750" customFormat="false" ht="14.25" hidden="false" customHeight="false" outlineLevel="0" collapsed="false">
      <c r="A2750" s="24" t="n">
        <v>902500</v>
      </c>
      <c r="B2750" s="32" t="s">
        <v>2913</v>
      </c>
    </row>
    <row r="2751" customFormat="false" ht="16.4" hidden="false" customHeight="false" outlineLevel="0" collapsed="false">
      <c r="A2751" s="24" t="n">
        <v>902600</v>
      </c>
      <c r="B2751" s="32" t="s">
        <v>2914</v>
      </c>
    </row>
    <row r="2752" customFormat="false" ht="16.4" hidden="false" customHeight="false" outlineLevel="0" collapsed="false">
      <c r="A2752" s="24" t="n">
        <v>902900</v>
      </c>
      <c r="B2752" s="32" t="s">
        <v>2915</v>
      </c>
    </row>
    <row r="2753" customFormat="false" ht="14.25" hidden="false" customHeight="false" outlineLevel="0" collapsed="false">
      <c r="A2753" s="24" t="n">
        <v>910200</v>
      </c>
      <c r="B2753" s="32" t="s">
        <v>2916</v>
      </c>
    </row>
    <row r="2754" customFormat="false" ht="14.25" hidden="false" customHeight="false" outlineLevel="0" collapsed="false">
      <c r="A2754" s="24" t="n">
        <v>910300</v>
      </c>
      <c r="B2754" s="32" t="s">
        <v>2917</v>
      </c>
    </row>
    <row r="2755" customFormat="false" ht="14.25" hidden="false" customHeight="false" outlineLevel="0" collapsed="false">
      <c r="A2755" s="24" t="n">
        <v>910400</v>
      </c>
      <c r="B2755" s="32" t="s">
        <v>2918</v>
      </c>
    </row>
    <row r="2756" customFormat="false" ht="14.25" hidden="false" customHeight="false" outlineLevel="0" collapsed="false">
      <c r="A2756" s="24" t="n">
        <v>910500</v>
      </c>
      <c r="B2756" s="32" t="s">
        <v>2919</v>
      </c>
    </row>
    <row r="2757" customFormat="false" ht="14.25" hidden="false" customHeight="false" outlineLevel="0" collapsed="false">
      <c r="A2757" s="24" t="n">
        <v>910600</v>
      </c>
      <c r="B2757" s="32" t="s">
        <v>2920</v>
      </c>
    </row>
    <row r="2758" customFormat="false" ht="14.25" hidden="false" customHeight="false" outlineLevel="0" collapsed="false">
      <c r="A2758" s="24" t="n">
        <v>910700</v>
      </c>
      <c r="B2758" s="32" t="s">
        <v>2921</v>
      </c>
    </row>
    <row r="2759" customFormat="false" ht="14.25" hidden="false" customHeight="false" outlineLevel="0" collapsed="false">
      <c r="A2759" s="24" t="n">
        <v>910800</v>
      </c>
      <c r="B2759" s="32" t="s">
        <v>2922</v>
      </c>
    </row>
    <row r="2760" customFormat="false" ht="16.4" hidden="false" customHeight="false" outlineLevel="0" collapsed="false">
      <c r="A2760" s="24" t="n">
        <v>910900</v>
      </c>
      <c r="B2760" s="32" t="s">
        <v>2923</v>
      </c>
    </row>
    <row r="2761" customFormat="false" ht="16.4" hidden="false" customHeight="false" outlineLevel="0" collapsed="false">
      <c r="A2761" s="24" t="n">
        <v>921100</v>
      </c>
      <c r="B2761" s="32" t="s">
        <v>2924</v>
      </c>
    </row>
    <row r="2762" customFormat="false" ht="14.25" hidden="false" customHeight="false" outlineLevel="0" collapsed="false">
      <c r="A2762" s="24" t="n">
        <v>921110</v>
      </c>
      <c r="B2762" s="32" t="s">
        <v>2925</v>
      </c>
    </row>
    <row r="2763" customFormat="false" ht="16.4" hidden="false" customHeight="false" outlineLevel="0" collapsed="false">
      <c r="A2763" s="24" t="n">
        <v>921150</v>
      </c>
      <c r="B2763" s="32" t="s">
        <v>2926</v>
      </c>
    </row>
    <row r="2764" customFormat="false" ht="16.4" hidden="false" customHeight="false" outlineLevel="0" collapsed="false">
      <c r="A2764" s="24" t="n">
        <v>921200</v>
      </c>
      <c r="B2764" s="32" t="s">
        <v>2927</v>
      </c>
    </row>
    <row r="2765" customFormat="false" ht="14.25" hidden="false" customHeight="false" outlineLevel="0" collapsed="false">
      <c r="A2765" s="24" t="n">
        <v>921250</v>
      </c>
      <c r="B2765" s="32" t="s">
        <v>2928</v>
      </c>
    </row>
    <row r="2766" customFormat="false" ht="14.25" hidden="false" customHeight="false" outlineLevel="0" collapsed="false">
      <c r="A2766" s="24" t="n">
        <v>921300</v>
      </c>
      <c r="B2766" s="32" t="s">
        <v>2929</v>
      </c>
    </row>
    <row r="2767" customFormat="false" ht="16.4" hidden="false" customHeight="false" outlineLevel="0" collapsed="false">
      <c r="A2767" s="24" t="n">
        <v>921350</v>
      </c>
      <c r="B2767" s="32" t="s">
        <v>2930</v>
      </c>
    </row>
    <row r="2768" customFormat="false" ht="14.25" hidden="false" customHeight="false" outlineLevel="0" collapsed="false">
      <c r="A2768" s="24" t="n">
        <v>921400</v>
      </c>
      <c r="B2768" s="32" t="s">
        <v>2931</v>
      </c>
    </row>
    <row r="2769" customFormat="false" ht="14.25" hidden="false" customHeight="false" outlineLevel="0" collapsed="false">
      <c r="A2769" s="24" t="n">
        <v>921450</v>
      </c>
      <c r="B2769" s="32" t="s">
        <v>2932</v>
      </c>
    </row>
    <row r="2770" customFormat="false" ht="14.25" hidden="false" customHeight="false" outlineLevel="0" collapsed="false">
      <c r="A2770" s="24" t="n">
        <v>921500</v>
      </c>
      <c r="B2770" s="32" t="s">
        <v>2933</v>
      </c>
    </row>
    <row r="2771" customFormat="false" ht="14.25" hidden="false" customHeight="false" outlineLevel="0" collapsed="false">
      <c r="A2771" s="24" t="n">
        <v>921550</v>
      </c>
      <c r="B2771" s="32" t="s">
        <v>2934</v>
      </c>
    </row>
    <row r="2772" customFormat="false" ht="16.4" hidden="false" customHeight="false" outlineLevel="0" collapsed="false">
      <c r="A2772" s="24" t="n">
        <v>921900</v>
      </c>
      <c r="B2772" s="32" t="s">
        <v>2935</v>
      </c>
    </row>
    <row r="2773" customFormat="false" ht="14.25" hidden="false" customHeight="false" outlineLevel="0" collapsed="false">
      <c r="A2773" s="24" t="n">
        <v>922200</v>
      </c>
      <c r="B2773" s="32" t="s">
        <v>2936</v>
      </c>
    </row>
    <row r="2774" customFormat="false" ht="14.25" hidden="false" customHeight="false" outlineLevel="0" collapsed="false">
      <c r="A2774" s="24" t="n">
        <v>922300</v>
      </c>
      <c r="B2774" s="32" t="s">
        <v>2937</v>
      </c>
    </row>
    <row r="2775" customFormat="false" ht="14.25" hidden="false" customHeight="false" outlineLevel="0" collapsed="false">
      <c r="A2775" s="24" t="n">
        <v>922400</v>
      </c>
      <c r="B2775" s="32" t="s">
        <v>2938</v>
      </c>
    </row>
    <row r="2776" customFormat="false" ht="14.25" hidden="false" customHeight="false" outlineLevel="0" collapsed="false">
      <c r="A2776" s="24" t="n">
        <v>922500</v>
      </c>
      <c r="B2776" s="32" t="s">
        <v>2939</v>
      </c>
    </row>
    <row r="2777" customFormat="false" ht="16.4" hidden="false" customHeight="false" outlineLevel="0" collapsed="false">
      <c r="A2777" s="24" t="n">
        <v>922600</v>
      </c>
      <c r="B2777" s="32" t="s">
        <v>2940</v>
      </c>
    </row>
    <row r="2778" customFormat="false" ht="16.4" hidden="false" customHeight="false" outlineLevel="0" collapsed="false">
      <c r="A2778" s="24" t="n">
        <v>922700</v>
      </c>
      <c r="B2778" s="32" t="s">
        <v>2941</v>
      </c>
    </row>
    <row r="2779" customFormat="false" ht="14.25" hidden="false" customHeight="false" outlineLevel="0" collapsed="false">
      <c r="A2779" s="24" t="n">
        <v>922800</v>
      </c>
      <c r="B2779" s="32" t="s">
        <v>2942</v>
      </c>
    </row>
    <row r="2780" customFormat="false" ht="16.4" hidden="false" customHeight="false" outlineLevel="0" collapsed="false">
      <c r="A2780" s="24" t="n">
        <v>922900</v>
      </c>
      <c r="B2780" s="32" t="s">
        <v>2943</v>
      </c>
    </row>
    <row r="2781" customFormat="false" ht="16.4" hidden="false" customHeight="false" outlineLevel="0" collapsed="false">
      <c r="A2781" s="24" t="n">
        <v>923200</v>
      </c>
      <c r="B2781" s="32" t="s">
        <v>2944</v>
      </c>
    </row>
    <row r="2782" customFormat="false" ht="14.25" hidden="false" customHeight="false" outlineLevel="0" collapsed="false">
      <c r="A2782" s="24" t="n">
        <v>923400</v>
      </c>
      <c r="B2782" s="32" t="s">
        <v>2945</v>
      </c>
    </row>
    <row r="2783" customFormat="false" ht="16.4" hidden="false" customHeight="false" outlineLevel="0" collapsed="false">
      <c r="A2783" s="24" t="n">
        <v>923900</v>
      </c>
      <c r="B2783" s="32" t="s">
        <v>2946</v>
      </c>
    </row>
    <row r="2784" customFormat="false" ht="14.25" hidden="false" customHeight="false" outlineLevel="0" collapsed="false">
      <c r="A2784" s="24" t="n">
        <v>924150</v>
      </c>
      <c r="B2784" s="32" t="s">
        <v>2947</v>
      </c>
    </row>
    <row r="2785" customFormat="false" ht="14.25" hidden="false" customHeight="false" outlineLevel="0" collapsed="false">
      <c r="A2785" s="24" t="n">
        <v>924200</v>
      </c>
      <c r="B2785" s="32" t="s">
        <v>2948</v>
      </c>
    </row>
    <row r="2786" customFormat="false" ht="16.4" hidden="false" customHeight="false" outlineLevel="0" collapsed="false">
      <c r="A2786" s="24" t="n">
        <v>924250</v>
      </c>
      <c r="B2786" s="32" t="s">
        <v>2949</v>
      </c>
    </row>
    <row r="2787" customFormat="false" ht="14.25" hidden="false" customHeight="false" outlineLevel="0" collapsed="false">
      <c r="A2787" s="24" t="n">
        <v>924300</v>
      </c>
      <c r="B2787" s="32" t="s">
        <v>2950</v>
      </c>
    </row>
    <row r="2788" customFormat="false" ht="14.25" hidden="false" customHeight="false" outlineLevel="0" collapsed="false">
      <c r="A2788" s="24" t="n">
        <v>924350</v>
      </c>
      <c r="B2788" s="32" t="s">
        <v>2951</v>
      </c>
    </row>
    <row r="2789" customFormat="false" ht="16.4" hidden="false" customHeight="false" outlineLevel="0" collapsed="false">
      <c r="A2789" s="24" t="n">
        <v>924400</v>
      </c>
      <c r="B2789" s="32" t="s">
        <v>2952</v>
      </c>
    </row>
    <row r="2790" customFormat="false" ht="14.25" hidden="false" customHeight="false" outlineLevel="0" collapsed="false">
      <c r="A2790" s="24" t="n">
        <v>924450</v>
      </c>
      <c r="B2790" s="32" t="s">
        <v>2953</v>
      </c>
    </row>
    <row r="2791" customFormat="false" ht="14.25" hidden="false" customHeight="false" outlineLevel="0" collapsed="false">
      <c r="A2791" s="24" t="n">
        <v>924500</v>
      </c>
      <c r="B2791" s="32" t="s">
        <v>2954</v>
      </c>
    </row>
    <row r="2792" customFormat="false" ht="14.25" hidden="false" customHeight="false" outlineLevel="0" collapsed="false">
      <c r="A2792" s="24" t="n">
        <v>924550</v>
      </c>
      <c r="B2792" s="32" t="s">
        <v>2955</v>
      </c>
    </row>
    <row r="2793" customFormat="false" ht="16.4" hidden="false" customHeight="false" outlineLevel="0" collapsed="false">
      <c r="A2793" s="24" t="n">
        <v>924900</v>
      </c>
      <c r="B2793" s="32" t="s">
        <v>2956</v>
      </c>
    </row>
    <row r="2794" customFormat="false" ht="16.4" hidden="false" customHeight="false" outlineLevel="0" collapsed="false">
      <c r="A2794" s="24" t="n">
        <v>925100</v>
      </c>
      <c r="B2794" s="32" t="s">
        <v>2957</v>
      </c>
    </row>
    <row r="2795" customFormat="false" ht="14.25" hidden="false" customHeight="false" outlineLevel="0" collapsed="false">
      <c r="A2795" s="24" t="n">
        <v>925200</v>
      </c>
      <c r="B2795" s="32" t="s">
        <v>2958</v>
      </c>
    </row>
    <row r="2796" customFormat="false" ht="14.25" hidden="false" customHeight="false" outlineLevel="0" collapsed="false">
      <c r="A2796" s="24" t="n">
        <v>925300</v>
      </c>
      <c r="B2796" s="32" t="s">
        <v>2959</v>
      </c>
    </row>
    <row r="2797" customFormat="false" ht="14.25" hidden="false" customHeight="false" outlineLevel="0" collapsed="false">
      <c r="A2797" s="24" t="n">
        <v>925400</v>
      </c>
      <c r="B2797" s="32" t="s">
        <v>2960</v>
      </c>
    </row>
    <row r="2798" customFormat="false" ht="14.25" hidden="false" customHeight="false" outlineLevel="0" collapsed="false">
      <c r="A2798" s="24" t="n">
        <v>925500</v>
      </c>
      <c r="B2798" s="32" t="s">
        <v>2961</v>
      </c>
    </row>
    <row r="2799" customFormat="false" ht="14.25" hidden="false" customHeight="false" outlineLevel="0" collapsed="false">
      <c r="A2799" s="24" t="n">
        <v>925600</v>
      </c>
      <c r="B2799" s="32" t="s">
        <v>2962</v>
      </c>
    </row>
    <row r="2800" customFormat="false" ht="16.4" hidden="false" customHeight="false" outlineLevel="0" collapsed="false">
      <c r="A2800" s="24" t="n">
        <v>925900</v>
      </c>
      <c r="B2800" s="32" t="s">
        <v>2963</v>
      </c>
    </row>
    <row r="2801" customFormat="false" ht="16.4" hidden="false" customHeight="false" outlineLevel="0" collapsed="false">
      <c r="A2801" s="24" t="n">
        <v>926200</v>
      </c>
      <c r="B2801" s="32" t="s">
        <v>2964</v>
      </c>
    </row>
    <row r="2802" customFormat="false" ht="14.25" hidden="false" customHeight="false" outlineLevel="0" collapsed="false">
      <c r="A2802" s="24" t="n">
        <v>926300</v>
      </c>
      <c r="B2802" s="32" t="s">
        <v>2965</v>
      </c>
    </row>
    <row r="2803" customFormat="false" ht="14.25" hidden="false" customHeight="false" outlineLevel="0" collapsed="false">
      <c r="A2803" s="24" t="n">
        <v>926400</v>
      </c>
      <c r="B2803" s="32" t="s">
        <v>2966</v>
      </c>
    </row>
    <row r="2804" customFormat="false" ht="14.25" hidden="false" customHeight="false" outlineLevel="0" collapsed="false">
      <c r="A2804" s="24" t="n">
        <v>926500</v>
      </c>
      <c r="B2804" s="32" t="s">
        <v>2967</v>
      </c>
    </row>
    <row r="2805" customFormat="false" ht="14.25" hidden="false" customHeight="false" outlineLevel="0" collapsed="false">
      <c r="A2805" s="24" t="n">
        <v>926600</v>
      </c>
      <c r="B2805" s="32" t="s">
        <v>2968</v>
      </c>
    </row>
    <row r="2806" customFormat="false" ht="16.4" hidden="false" customHeight="false" outlineLevel="0" collapsed="false">
      <c r="A2806" s="24" t="n">
        <v>926900</v>
      </c>
      <c r="B2806" s="32" t="s">
        <v>2969</v>
      </c>
    </row>
    <row r="2807" customFormat="false" ht="14.25" hidden="false" customHeight="false" outlineLevel="0" collapsed="false">
      <c r="A2807" s="24" t="n">
        <v>927200</v>
      </c>
      <c r="B2807" s="32" t="s">
        <v>2970</v>
      </c>
    </row>
    <row r="2808" customFormat="false" ht="14.25" hidden="false" customHeight="false" outlineLevel="0" collapsed="false">
      <c r="A2808" s="24" t="n">
        <v>927300</v>
      </c>
      <c r="B2808" s="32" t="s">
        <v>2971</v>
      </c>
    </row>
    <row r="2809" customFormat="false" ht="14.25" hidden="false" customHeight="false" outlineLevel="0" collapsed="false">
      <c r="A2809" s="24" t="n">
        <v>927400</v>
      </c>
      <c r="B2809" s="32" t="s">
        <v>2972</v>
      </c>
    </row>
    <row r="2810" customFormat="false" ht="14.25" hidden="false" customHeight="false" outlineLevel="0" collapsed="false">
      <c r="A2810" s="24" t="n">
        <v>927500</v>
      </c>
      <c r="B2810" s="32" t="s">
        <v>2973</v>
      </c>
    </row>
    <row r="2811" customFormat="false" ht="14.25" hidden="false" customHeight="false" outlineLevel="0" collapsed="false">
      <c r="A2811" s="24" t="n">
        <v>927900</v>
      </c>
      <c r="B2811" s="32" t="s">
        <v>2974</v>
      </c>
    </row>
    <row r="2812" customFormat="false" ht="14.25" hidden="false" customHeight="false" outlineLevel="0" collapsed="false">
      <c r="A2812" s="24" t="n">
        <v>929200</v>
      </c>
      <c r="B2812" s="32" t="s">
        <v>2975</v>
      </c>
    </row>
    <row r="2813" customFormat="false" ht="14.25" hidden="false" customHeight="false" outlineLevel="0" collapsed="false">
      <c r="A2813" s="24" t="n">
        <v>929300</v>
      </c>
      <c r="B2813" s="32" t="s">
        <v>2976</v>
      </c>
    </row>
    <row r="2814" customFormat="false" ht="14.25" hidden="false" customHeight="false" outlineLevel="0" collapsed="false">
      <c r="A2814" s="24" t="n">
        <v>929400</v>
      </c>
      <c r="B2814" s="32" t="s">
        <v>2977</v>
      </c>
    </row>
    <row r="2815" customFormat="false" ht="14.25" hidden="false" customHeight="false" outlineLevel="0" collapsed="false">
      <c r="A2815" s="24" t="n">
        <v>929500</v>
      </c>
      <c r="B2815" s="32" t="s">
        <v>2978</v>
      </c>
    </row>
    <row r="2816" customFormat="false" ht="16.4" hidden="false" customHeight="false" outlineLevel="0" collapsed="false">
      <c r="A2816" s="24" t="n">
        <v>929900</v>
      </c>
      <c r="B2816" s="32" t="s">
        <v>2979</v>
      </c>
    </row>
    <row r="2817" customFormat="false" ht="14.25" hidden="false" customHeight="false" outlineLevel="0" collapsed="false">
      <c r="A2817" s="24" t="n">
        <v>931000</v>
      </c>
      <c r="B2817" s="32" t="s">
        <v>2980</v>
      </c>
    </row>
    <row r="2818" customFormat="false" ht="14.25" hidden="false" customHeight="false" outlineLevel="0" collapsed="false">
      <c r="A2818" s="24" t="n">
        <v>931200</v>
      </c>
      <c r="B2818" s="32" t="s">
        <v>2981</v>
      </c>
    </row>
    <row r="2819" customFormat="false" ht="14.25" hidden="false" customHeight="false" outlineLevel="0" collapsed="false">
      <c r="A2819" s="24" t="n">
        <v>931400</v>
      </c>
      <c r="B2819" s="32" t="s">
        <v>2982</v>
      </c>
    </row>
    <row r="2820" customFormat="false" ht="16.4" hidden="false" customHeight="false" outlineLevel="0" collapsed="false">
      <c r="A2820" s="24" t="n">
        <v>931900</v>
      </c>
      <c r="B2820" s="32" t="s">
        <v>2983</v>
      </c>
    </row>
    <row r="2821" customFormat="false" ht="16.4" hidden="false" customHeight="false" outlineLevel="0" collapsed="false">
      <c r="A2821" s="24" t="n">
        <v>939100</v>
      </c>
      <c r="B2821" s="32" t="s">
        <v>2984</v>
      </c>
    </row>
    <row r="2822" customFormat="false" ht="14.25" hidden="false" customHeight="false" outlineLevel="0" collapsed="false">
      <c r="A2822" s="24" t="n">
        <v>939200</v>
      </c>
      <c r="B2822" s="32" t="s">
        <v>2985</v>
      </c>
    </row>
    <row r="2823" customFormat="false" ht="14.25" hidden="false" customHeight="false" outlineLevel="0" collapsed="false">
      <c r="A2823" s="24" t="n">
        <v>939300</v>
      </c>
      <c r="B2823" s="32" t="s">
        <v>2986</v>
      </c>
    </row>
    <row r="2824" customFormat="false" ht="14.25" hidden="false" customHeight="false" outlineLevel="0" collapsed="false">
      <c r="A2824" s="24" t="n">
        <v>939400</v>
      </c>
      <c r="B2824" s="32" t="s">
        <v>2987</v>
      </c>
    </row>
    <row r="2825" customFormat="false" ht="16.4" hidden="false" customHeight="false" outlineLevel="0" collapsed="false">
      <c r="A2825" s="24" t="n">
        <v>939500</v>
      </c>
      <c r="B2825" s="32" t="s">
        <v>2988</v>
      </c>
    </row>
    <row r="2826" customFormat="false" ht="16.4" hidden="false" customHeight="false" outlineLevel="0" collapsed="false">
      <c r="A2826" s="24" t="n">
        <v>939600</v>
      </c>
      <c r="B2826" s="32" t="s">
        <v>2989</v>
      </c>
    </row>
    <row r="2827" customFormat="false" ht="16.4" hidden="false" customHeight="false" outlineLevel="0" collapsed="false">
      <c r="A2827" s="24" t="n">
        <v>939900</v>
      </c>
      <c r="B2827" s="32" t="s">
        <v>2990</v>
      </c>
    </row>
    <row r="2828" customFormat="false" ht="14.25" hidden="false" customHeight="false" outlineLevel="0" collapsed="false">
      <c r="A2828" s="24" t="n">
        <v>941200</v>
      </c>
      <c r="B2828" s="32" t="s">
        <v>2991</v>
      </c>
    </row>
    <row r="2829" customFormat="false" ht="14.25" hidden="false" customHeight="false" outlineLevel="0" collapsed="false">
      <c r="A2829" s="24" t="n">
        <v>941400</v>
      </c>
      <c r="B2829" s="32" t="s">
        <v>2992</v>
      </c>
    </row>
    <row r="2830" customFormat="false" ht="14.25" hidden="false" customHeight="false" outlineLevel="0" collapsed="false">
      <c r="A2830" s="24" t="n">
        <v>941900</v>
      </c>
      <c r="B2830" s="32" t="s">
        <v>2993</v>
      </c>
    </row>
    <row r="2831" customFormat="false" ht="16.4" hidden="false" customHeight="false" outlineLevel="0" collapsed="false">
      <c r="A2831" s="24" t="n">
        <v>942150</v>
      </c>
      <c r="B2831" s="32" t="s">
        <v>2994</v>
      </c>
    </row>
    <row r="2832" customFormat="false" ht="16.4" hidden="false" customHeight="false" outlineLevel="0" collapsed="false">
      <c r="A2832" s="24" t="n">
        <v>942200</v>
      </c>
      <c r="B2832" s="32" t="s">
        <v>2995</v>
      </c>
    </row>
    <row r="2833" customFormat="false" ht="14.25" hidden="false" customHeight="false" outlineLevel="0" collapsed="false">
      <c r="A2833" s="24" t="n">
        <v>942250</v>
      </c>
      <c r="B2833" s="32" t="s">
        <v>2996</v>
      </c>
    </row>
    <row r="2834" customFormat="false" ht="14.25" hidden="false" customHeight="false" outlineLevel="0" collapsed="false">
      <c r="A2834" s="24" t="n">
        <v>942300</v>
      </c>
      <c r="B2834" s="32" t="s">
        <v>2997</v>
      </c>
    </row>
    <row r="2835" customFormat="false" ht="16.4" hidden="false" customHeight="false" outlineLevel="0" collapsed="false">
      <c r="A2835" s="24" t="n">
        <v>942350</v>
      </c>
      <c r="B2835" s="32" t="s">
        <v>2998</v>
      </c>
    </row>
    <row r="2836" customFormat="false" ht="14.25" hidden="false" customHeight="false" outlineLevel="0" collapsed="false">
      <c r="A2836" s="24" t="n">
        <v>942400</v>
      </c>
      <c r="B2836" s="32" t="s">
        <v>2999</v>
      </c>
    </row>
    <row r="2837" customFormat="false" ht="16.4" hidden="false" customHeight="false" outlineLevel="0" collapsed="false">
      <c r="A2837" s="24" t="n">
        <v>942450</v>
      </c>
      <c r="B2837" s="33" t="s">
        <v>3000</v>
      </c>
    </row>
    <row r="2838" customFormat="false" ht="14.25" hidden="false" customHeight="false" outlineLevel="0" collapsed="false">
      <c r="A2838" s="24" t="n">
        <v>942500</v>
      </c>
      <c r="B2838" s="32" t="s">
        <v>3001</v>
      </c>
    </row>
    <row r="2839" customFormat="false" ht="16.4" hidden="false" customHeight="false" outlineLevel="0" collapsed="false">
      <c r="A2839" s="24" t="n">
        <v>942900</v>
      </c>
      <c r="B2839" s="32" t="s">
        <v>3002</v>
      </c>
    </row>
    <row r="2840" customFormat="false" ht="14.25" hidden="false" customHeight="false" outlineLevel="0" collapsed="false">
      <c r="A2840" s="24" t="n">
        <v>943200</v>
      </c>
      <c r="B2840" s="32" t="s">
        <v>3003</v>
      </c>
    </row>
    <row r="2841" customFormat="false" ht="14.25" hidden="false" customHeight="false" outlineLevel="0" collapsed="false">
      <c r="A2841" s="24" t="n">
        <v>943300</v>
      </c>
      <c r="B2841" s="32" t="s">
        <v>3004</v>
      </c>
    </row>
    <row r="2842" customFormat="false" ht="14.25" hidden="false" customHeight="false" outlineLevel="0" collapsed="false">
      <c r="A2842" s="24" t="n">
        <v>943400</v>
      </c>
      <c r="B2842" s="32" t="s">
        <v>3005</v>
      </c>
    </row>
    <row r="2843" customFormat="false" ht="16.4" hidden="false" customHeight="false" outlineLevel="0" collapsed="false">
      <c r="A2843" s="24" t="n">
        <v>943900</v>
      </c>
      <c r="B2843" s="32" t="s">
        <v>3006</v>
      </c>
    </row>
    <row r="2844" customFormat="false" ht="16.4" hidden="false" customHeight="false" outlineLevel="0" collapsed="false">
      <c r="A2844" s="24" t="n">
        <v>944200</v>
      </c>
      <c r="B2844" s="33" t="s">
        <v>3007</v>
      </c>
    </row>
    <row r="2845" customFormat="false" ht="16.4" hidden="false" customHeight="false" outlineLevel="0" collapsed="false">
      <c r="A2845" s="24" t="n">
        <v>944300</v>
      </c>
      <c r="B2845" s="33" t="s">
        <v>3008</v>
      </c>
    </row>
    <row r="2846" customFormat="false" ht="14.25" hidden="false" customHeight="false" outlineLevel="0" collapsed="false">
      <c r="A2846" s="24" t="n">
        <v>944310</v>
      </c>
      <c r="B2846" s="32" t="s">
        <v>3009</v>
      </c>
    </row>
    <row r="2847" customFormat="false" ht="14.25" hidden="false" customHeight="false" outlineLevel="0" collapsed="false">
      <c r="A2847" s="24" t="n">
        <v>944320</v>
      </c>
      <c r="B2847" s="32" t="s">
        <v>3010</v>
      </c>
    </row>
    <row r="2848" customFormat="false" ht="16.4" hidden="false" customHeight="false" outlineLevel="0" collapsed="false">
      <c r="A2848" s="24" t="n">
        <v>944400</v>
      </c>
      <c r="B2848" s="32" t="s">
        <v>3011</v>
      </c>
    </row>
    <row r="2849" customFormat="false" ht="14.25" hidden="false" customHeight="false" outlineLevel="0" collapsed="false">
      <c r="A2849" s="24" t="n">
        <v>944500</v>
      </c>
      <c r="B2849" s="32" t="s">
        <v>3012</v>
      </c>
    </row>
    <row r="2850" customFormat="false" ht="16.4" hidden="false" customHeight="false" outlineLevel="0" collapsed="false">
      <c r="A2850" s="24" t="n">
        <v>944600</v>
      </c>
      <c r="B2850" s="32" t="s">
        <v>3013</v>
      </c>
    </row>
    <row r="2851" customFormat="false" ht="16.4" hidden="false" customHeight="false" outlineLevel="0" collapsed="false">
      <c r="A2851" s="24" t="n">
        <v>944700</v>
      </c>
      <c r="B2851" s="33" t="s">
        <v>3014</v>
      </c>
    </row>
    <row r="2852" customFormat="false" ht="16.4" hidden="false" customHeight="false" outlineLevel="0" collapsed="false">
      <c r="A2852" s="24" t="n">
        <v>944800</v>
      </c>
      <c r="B2852" s="33" t="s">
        <v>3015</v>
      </c>
    </row>
    <row r="2853" customFormat="false" ht="14.25" hidden="false" customHeight="false" outlineLevel="0" collapsed="false">
      <c r="A2853" s="24" t="n">
        <v>944810</v>
      </c>
      <c r="B2853" s="32" t="s">
        <v>3016</v>
      </c>
    </row>
    <row r="2854" customFormat="false" ht="16.4" hidden="false" customHeight="false" outlineLevel="0" collapsed="false">
      <c r="A2854" s="24" t="n">
        <v>944900</v>
      </c>
      <c r="B2854" s="32" t="s">
        <v>3017</v>
      </c>
    </row>
    <row r="2855" customFormat="false" ht="14.25" hidden="false" customHeight="false" outlineLevel="0" collapsed="false">
      <c r="A2855" s="24" t="n">
        <v>949150</v>
      </c>
      <c r="B2855" s="32" t="s">
        <v>3018</v>
      </c>
    </row>
    <row r="2856" customFormat="false" ht="14.25" hidden="false" customHeight="false" outlineLevel="0" collapsed="false">
      <c r="A2856" s="24" t="n">
        <v>949200</v>
      </c>
      <c r="B2856" s="32" t="s">
        <v>3019</v>
      </c>
    </row>
    <row r="2857" customFormat="false" ht="14.25" hidden="false" customHeight="false" outlineLevel="0" collapsed="false">
      <c r="A2857" s="24" t="n">
        <v>949250</v>
      </c>
      <c r="B2857" s="32" t="s">
        <v>3020</v>
      </c>
    </row>
    <row r="2858" customFormat="false" ht="14.25" hidden="false" customHeight="false" outlineLevel="0" collapsed="false">
      <c r="A2858" s="24" t="n">
        <v>949300</v>
      </c>
      <c r="B2858" s="32" t="s">
        <v>3021</v>
      </c>
    </row>
    <row r="2859" customFormat="false" ht="16.4" hidden="false" customHeight="false" outlineLevel="0" collapsed="false">
      <c r="A2859" s="24" t="n">
        <v>949350</v>
      </c>
      <c r="B2859" s="32" t="s">
        <v>3022</v>
      </c>
    </row>
    <row r="2860" customFormat="false" ht="14.25" hidden="false" customHeight="false" outlineLevel="0" collapsed="false">
      <c r="A2860" s="24" t="n">
        <v>949400</v>
      </c>
      <c r="B2860" s="32" t="s">
        <v>3023</v>
      </c>
    </row>
    <row r="2861" customFormat="false" ht="14.25" hidden="false" customHeight="false" outlineLevel="0" collapsed="false">
      <c r="A2861" s="24" t="n">
        <v>949450</v>
      </c>
      <c r="B2861" s="32" t="s">
        <v>3024</v>
      </c>
    </row>
    <row r="2862" customFormat="false" ht="14.25" hidden="false" customHeight="false" outlineLevel="0" collapsed="false">
      <c r="A2862" s="24" t="n">
        <v>949500</v>
      </c>
      <c r="B2862" s="32" t="s">
        <v>3025</v>
      </c>
    </row>
    <row r="2863" customFormat="false" ht="14.25" hidden="false" customHeight="false" outlineLevel="0" collapsed="false">
      <c r="A2863" s="24" t="n">
        <v>949550</v>
      </c>
      <c r="B2863" s="32" t="s">
        <v>3026</v>
      </c>
    </row>
    <row r="2864" customFormat="false" ht="14.25" hidden="false" customHeight="false" outlineLevel="0" collapsed="false">
      <c r="A2864" s="24" t="n">
        <v>949600</v>
      </c>
      <c r="B2864" s="32" t="s">
        <v>3027</v>
      </c>
    </row>
    <row r="2865" customFormat="false" ht="14.25" hidden="false" customHeight="false" outlineLevel="0" collapsed="false">
      <c r="A2865" s="24" t="n">
        <v>949650</v>
      </c>
      <c r="B2865" s="32" t="s">
        <v>3028</v>
      </c>
    </row>
    <row r="2866" customFormat="false" ht="14.25" hidden="false" customHeight="false" outlineLevel="0" collapsed="false">
      <c r="A2866" s="24" t="n">
        <v>949700</v>
      </c>
      <c r="B2866" s="32" t="s">
        <v>3029</v>
      </c>
    </row>
    <row r="2867" customFormat="false" ht="16.4" hidden="false" customHeight="false" outlineLevel="0" collapsed="false">
      <c r="A2867" s="24" t="n">
        <v>949750</v>
      </c>
      <c r="B2867" s="32" t="s">
        <v>3030</v>
      </c>
    </row>
    <row r="2868" customFormat="false" ht="14.25" hidden="false" customHeight="false" outlineLevel="0" collapsed="false">
      <c r="A2868" s="24" t="n">
        <v>949800</v>
      </c>
      <c r="B2868" s="32" t="s">
        <v>3031</v>
      </c>
    </row>
    <row r="2869" customFormat="false" ht="14.25" hidden="false" customHeight="false" outlineLevel="0" collapsed="false">
      <c r="A2869" s="24" t="n">
        <v>949850</v>
      </c>
      <c r="B2869" s="32" t="s">
        <v>3032</v>
      </c>
    </row>
    <row r="2870" customFormat="false" ht="16.4" hidden="false" customHeight="false" outlineLevel="0" collapsed="false">
      <c r="A2870" s="24" t="n">
        <v>949900</v>
      </c>
      <c r="B2870" s="32" t="s">
        <v>3033</v>
      </c>
    </row>
    <row r="2871" customFormat="false" ht="14.25" hidden="false" customHeight="false" outlineLevel="0" collapsed="false">
      <c r="A2871" s="24" t="n">
        <v>949910</v>
      </c>
      <c r="B2871" s="32" t="s">
        <v>3034</v>
      </c>
    </row>
    <row r="2872" customFormat="false" ht="14.25" hidden="false" customHeight="false" outlineLevel="0" collapsed="false">
      <c r="A2872" s="24" t="n">
        <v>949920</v>
      </c>
      <c r="B2872" s="32" t="s">
        <v>3035</v>
      </c>
    </row>
    <row r="2873" customFormat="false" ht="14.25" hidden="false" customHeight="false" outlineLevel="0" collapsed="false">
      <c r="A2873" s="24" t="n">
        <v>951000</v>
      </c>
      <c r="B2873" s="32" t="s">
        <v>3036</v>
      </c>
    </row>
    <row r="2874" customFormat="false" ht="14.25" hidden="false" customHeight="false" outlineLevel="0" collapsed="false">
      <c r="A2874" s="24" t="n">
        <v>951150</v>
      </c>
      <c r="B2874" s="32" t="s">
        <v>3037</v>
      </c>
    </row>
    <row r="2875" customFormat="false" ht="14.25" hidden="false" customHeight="false" outlineLevel="0" collapsed="false">
      <c r="A2875" s="24" t="n">
        <v>951200</v>
      </c>
      <c r="B2875" s="32" t="s">
        <v>3038</v>
      </c>
    </row>
    <row r="2876" customFormat="false" ht="16.4" hidden="false" customHeight="false" outlineLevel="0" collapsed="false">
      <c r="A2876" s="24" t="n">
        <v>951250</v>
      </c>
      <c r="B2876" s="32" t="s">
        <v>3039</v>
      </c>
    </row>
    <row r="2877" customFormat="false" ht="16.4" hidden="false" customHeight="false" outlineLevel="0" collapsed="false">
      <c r="A2877" s="24" t="n">
        <v>951300</v>
      </c>
      <c r="B2877" s="32" t="s">
        <v>3040</v>
      </c>
    </row>
    <row r="2878" customFormat="false" ht="14.25" hidden="false" customHeight="false" outlineLevel="0" collapsed="false">
      <c r="A2878" s="24" t="n">
        <v>951350</v>
      </c>
      <c r="B2878" s="32" t="s">
        <v>3041</v>
      </c>
    </row>
    <row r="2879" customFormat="false" ht="14.25" hidden="false" customHeight="false" outlineLevel="0" collapsed="false">
      <c r="A2879" s="24" t="n">
        <v>951400</v>
      </c>
      <c r="B2879" s="32" t="s">
        <v>3042</v>
      </c>
    </row>
    <row r="2880" customFormat="false" ht="16.4" hidden="false" customHeight="false" outlineLevel="0" collapsed="false">
      <c r="A2880" s="24" t="n">
        <v>951450</v>
      </c>
      <c r="B2880" s="32" t="s">
        <v>3043</v>
      </c>
    </row>
    <row r="2881" customFormat="false" ht="14.25" hidden="false" customHeight="false" outlineLevel="0" collapsed="false">
      <c r="A2881" s="24" t="n">
        <v>951500</v>
      </c>
      <c r="B2881" s="32" t="s">
        <v>3044</v>
      </c>
    </row>
    <row r="2882" customFormat="false" ht="14.25" hidden="false" customHeight="false" outlineLevel="0" collapsed="false">
      <c r="A2882" s="24" t="n">
        <v>951550</v>
      </c>
      <c r="B2882" s="32" t="s">
        <v>3045</v>
      </c>
    </row>
    <row r="2883" customFormat="false" ht="14.25" hidden="false" customHeight="false" outlineLevel="0" collapsed="false">
      <c r="A2883" s="24" t="n">
        <v>951600</v>
      </c>
      <c r="B2883" s="32" t="s">
        <v>3046</v>
      </c>
    </row>
    <row r="2884" customFormat="false" ht="16.4" hidden="false" customHeight="false" outlineLevel="0" collapsed="false">
      <c r="A2884" s="24" t="n">
        <v>951900</v>
      </c>
      <c r="B2884" s="32" t="s">
        <v>3047</v>
      </c>
    </row>
    <row r="2885" customFormat="false" ht="14.25" hidden="false" customHeight="false" outlineLevel="0" collapsed="false">
      <c r="A2885" s="24" t="n">
        <v>952200</v>
      </c>
      <c r="B2885" s="32" t="s">
        <v>3048</v>
      </c>
    </row>
    <row r="2886" customFormat="false" ht="16.4" hidden="false" customHeight="false" outlineLevel="0" collapsed="false">
      <c r="A2886" s="24" t="n">
        <v>952300</v>
      </c>
      <c r="B2886" s="32" t="s">
        <v>3049</v>
      </c>
    </row>
    <row r="2887" customFormat="false" ht="16.4" hidden="false" customHeight="false" outlineLevel="0" collapsed="false">
      <c r="A2887" s="24" t="n">
        <v>952400</v>
      </c>
      <c r="B2887" s="32" t="s">
        <v>3050</v>
      </c>
    </row>
    <row r="2888" customFormat="false" ht="14.25" hidden="false" customHeight="false" outlineLevel="0" collapsed="false">
      <c r="A2888" s="24" t="n">
        <v>952500</v>
      </c>
      <c r="B2888" s="32" t="s">
        <v>3051</v>
      </c>
    </row>
    <row r="2889" customFormat="false" ht="14.25" hidden="false" customHeight="false" outlineLevel="0" collapsed="false">
      <c r="A2889" s="24" t="n">
        <v>952600</v>
      </c>
      <c r="B2889" s="32" t="s">
        <v>3052</v>
      </c>
    </row>
    <row r="2890" customFormat="false" ht="14.25" hidden="false" customHeight="false" outlineLevel="0" collapsed="false">
      <c r="A2890" s="24" t="n">
        <v>952900</v>
      </c>
      <c r="B2890" s="32" t="s">
        <v>3053</v>
      </c>
    </row>
    <row r="2891" customFormat="false" ht="14.25" hidden="false" customHeight="false" outlineLevel="0" collapsed="false">
      <c r="A2891" s="24" t="n">
        <v>953100</v>
      </c>
      <c r="B2891" s="32" t="s">
        <v>3054</v>
      </c>
    </row>
    <row r="2892" customFormat="false" ht="14.25" hidden="false" customHeight="false" outlineLevel="0" collapsed="false">
      <c r="A2892" s="24" t="n">
        <v>953500</v>
      </c>
      <c r="B2892" s="32" t="s">
        <v>3055</v>
      </c>
    </row>
    <row r="2893" customFormat="false" ht="14.25" hidden="false" customHeight="false" outlineLevel="0" collapsed="false">
      <c r="A2893" s="24" t="n">
        <v>953501</v>
      </c>
      <c r="B2893" s="32" t="s">
        <v>3056</v>
      </c>
    </row>
    <row r="2894" customFormat="false" ht="14.25" hidden="false" customHeight="false" outlineLevel="0" collapsed="false">
      <c r="A2894" s="24" t="n">
        <v>953502</v>
      </c>
      <c r="B2894" s="32" t="s">
        <v>3057</v>
      </c>
    </row>
    <row r="2895" customFormat="false" ht="14.25" hidden="false" customHeight="false" outlineLevel="0" collapsed="false">
      <c r="A2895" s="24" t="n">
        <v>953503</v>
      </c>
      <c r="B2895" s="32" t="s">
        <v>3058</v>
      </c>
    </row>
    <row r="2896" customFormat="false" ht="14.25" hidden="false" customHeight="false" outlineLevel="0" collapsed="false">
      <c r="A2896" s="24" t="n">
        <v>953504</v>
      </c>
      <c r="B2896" s="32" t="s">
        <v>3059</v>
      </c>
    </row>
    <row r="2897" customFormat="false" ht="14.25" hidden="false" customHeight="false" outlineLevel="0" collapsed="false">
      <c r="A2897" s="24" t="n">
        <v>954000</v>
      </c>
      <c r="B2897" s="32" t="s">
        <v>3060</v>
      </c>
    </row>
    <row r="2898" customFormat="false" ht="16.4" hidden="false" customHeight="false" outlineLevel="0" collapsed="false">
      <c r="A2898" s="24" t="n">
        <v>954100</v>
      </c>
      <c r="B2898" s="32" t="s">
        <v>3061</v>
      </c>
    </row>
    <row r="2899" customFormat="false" ht="14.25" hidden="false" customHeight="false" outlineLevel="0" collapsed="false">
      <c r="A2899" s="24" t="n">
        <v>954120</v>
      </c>
      <c r="B2899" s="32" t="s">
        <v>3062</v>
      </c>
    </row>
    <row r="2900" customFormat="false" ht="14.25" hidden="false" customHeight="false" outlineLevel="0" collapsed="false">
      <c r="A2900" s="24" t="n">
        <v>954150</v>
      </c>
      <c r="B2900" s="32" t="s">
        <v>3063</v>
      </c>
    </row>
    <row r="2901" customFormat="false" ht="16.4" hidden="false" customHeight="false" outlineLevel="0" collapsed="false">
      <c r="A2901" s="24" t="n">
        <v>954200</v>
      </c>
      <c r="B2901" s="32" t="s">
        <v>3064</v>
      </c>
    </row>
    <row r="2902" customFormat="false" ht="16.4" hidden="false" customHeight="false" outlineLevel="0" collapsed="false">
      <c r="A2902" s="24" t="n">
        <v>954250</v>
      </c>
      <c r="B2902" s="32" t="s">
        <v>3065</v>
      </c>
    </row>
    <row r="2903" customFormat="false" ht="14.25" hidden="false" customHeight="false" outlineLevel="0" collapsed="false">
      <c r="A2903" s="24" t="n">
        <v>954300</v>
      </c>
      <c r="B2903" s="32" t="s">
        <v>3066</v>
      </c>
    </row>
    <row r="2904" customFormat="false" ht="14.25" hidden="false" customHeight="false" outlineLevel="0" collapsed="false">
      <c r="A2904" s="24" t="n">
        <v>954350</v>
      </c>
      <c r="B2904" s="32" t="s">
        <v>3067</v>
      </c>
    </row>
    <row r="2905" customFormat="false" ht="14.25" hidden="false" customHeight="false" outlineLevel="0" collapsed="false">
      <c r="A2905" s="24" t="n">
        <v>954400</v>
      </c>
      <c r="B2905" s="32" t="s">
        <v>3068</v>
      </c>
    </row>
    <row r="2906" customFormat="false" ht="14.25" hidden="false" customHeight="false" outlineLevel="0" collapsed="false">
      <c r="A2906" s="24" t="n">
        <v>954450</v>
      </c>
      <c r="B2906" s="32" t="s">
        <v>3069</v>
      </c>
    </row>
    <row r="2907" customFormat="false" ht="14.25" hidden="false" customHeight="false" outlineLevel="0" collapsed="false">
      <c r="A2907" s="24" t="n">
        <v>954500</v>
      </c>
      <c r="B2907" s="32" t="s">
        <v>3070</v>
      </c>
    </row>
    <row r="2908" customFormat="false" ht="14.25" hidden="false" customHeight="false" outlineLevel="0" collapsed="false">
      <c r="A2908" s="24" t="n">
        <v>954550</v>
      </c>
      <c r="B2908" s="32" t="s">
        <v>3071</v>
      </c>
    </row>
    <row r="2909" customFormat="false" ht="16.4" hidden="false" customHeight="false" outlineLevel="0" collapsed="false">
      <c r="A2909" s="24" t="n">
        <v>954900</v>
      </c>
      <c r="B2909" s="32" t="s">
        <v>3072</v>
      </c>
    </row>
    <row r="2910" customFormat="false" ht="16.4" hidden="false" customHeight="false" outlineLevel="0" collapsed="false">
      <c r="A2910" s="24" t="n">
        <v>955100</v>
      </c>
      <c r="B2910" s="32" t="s">
        <v>3073</v>
      </c>
    </row>
    <row r="2911" customFormat="false" ht="14.25" hidden="false" customHeight="false" outlineLevel="0" collapsed="false">
      <c r="A2911" s="24" t="n">
        <v>955200</v>
      </c>
      <c r="B2911" s="32" t="s">
        <v>3074</v>
      </c>
    </row>
    <row r="2912" customFormat="false" ht="14.25" hidden="false" customHeight="false" outlineLevel="0" collapsed="false">
      <c r="A2912" s="24" t="n">
        <v>955300</v>
      </c>
      <c r="B2912" s="32" t="s">
        <v>3075</v>
      </c>
    </row>
    <row r="2913" customFormat="false" ht="14.25" hidden="false" customHeight="false" outlineLevel="0" collapsed="false">
      <c r="A2913" s="24" t="n">
        <v>955400</v>
      </c>
      <c r="B2913" s="32" t="s">
        <v>3076</v>
      </c>
    </row>
    <row r="2914" customFormat="false" ht="14.25" hidden="false" customHeight="false" outlineLevel="0" collapsed="false">
      <c r="A2914" s="24" t="n">
        <v>955500</v>
      </c>
      <c r="B2914" s="32" t="s">
        <v>3077</v>
      </c>
    </row>
    <row r="2915" customFormat="false" ht="14.25" hidden="false" customHeight="false" outlineLevel="0" collapsed="false">
      <c r="A2915" s="24" t="n">
        <v>955600</v>
      </c>
      <c r="B2915" s="32" t="s">
        <v>3078</v>
      </c>
    </row>
    <row r="2916" customFormat="false" ht="16.4" hidden="false" customHeight="false" outlineLevel="0" collapsed="false">
      <c r="A2916" s="24" t="n">
        <v>955900</v>
      </c>
      <c r="B2916" s="32" t="s">
        <v>3079</v>
      </c>
    </row>
    <row r="2917" customFormat="false" ht="14.25" hidden="false" customHeight="false" outlineLevel="0" collapsed="false">
      <c r="A2917" s="24" t="n">
        <v>956200</v>
      </c>
      <c r="B2917" s="32" t="s">
        <v>3080</v>
      </c>
    </row>
    <row r="2918" customFormat="false" ht="14.25" hidden="false" customHeight="false" outlineLevel="0" collapsed="false">
      <c r="A2918" s="24" t="n">
        <v>956300</v>
      </c>
      <c r="B2918" s="32" t="s">
        <v>3081</v>
      </c>
    </row>
    <row r="2919" customFormat="false" ht="14.25" hidden="false" customHeight="false" outlineLevel="0" collapsed="false">
      <c r="A2919" s="24" t="n">
        <v>956400</v>
      </c>
      <c r="B2919" s="32" t="s">
        <v>3082</v>
      </c>
    </row>
    <row r="2920" customFormat="false" ht="14.25" hidden="false" customHeight="false" outlineLevel="0" collapsed="false">
      <c r="A2920" s="24" t="n">
        <v>956500</v>
      </c>
      <c r="B2920" s="32" t="s">
        <v>3080</v>
      </c>
    </row>
    <row r="2921" customFormat="false" ht="14.25" hidden="false" customHeight="false" outlineLevel="0" collapsed="false">
      <c r="A2921" s="24" t="n">
        <v>956600</v>
      </c>
      <c r="B2921" s="32" t="s">
        <v>3083</v>
      </c>
    </row>
    <row r="2922" customFormat="false" ht="14.25" hidden="false" customHeight="false" outlineLevel="0" collapsed="false">
      <c r="A2922" s="24" t="n">
        <v>956900</v>
      </c>
      <c r="B2922" s="32" t="s">
        <v>3084</v>
      </c>
    </row>
    <row r="2923" customFormat="false" ht="14.25" hidden="false" customHeight="false" outlineLevel="0" collapsed="false">
      <c r="A2923" s="24" t="n">
        <v>957100</v>
      </c>
      <c r="B2923" s="32" t="s">
        <v>3085</v>
      </c>
    </row>
    <row r="2924" customFormat="false" ht="14.25" hidden="false" customHeight="false" outlineLevel="0" collapsed="false">
      <c r="A2924" s="24" t="n">
        <v>957200</v>
      </c>
      <c r="B2924" s="32" t="s">
        <v>3086</v>
      </c>
    </row>
    <row r="2925" customFormat="false" ht="14.25" hidden="false" customHeight="false" outlineLevel="0" collapsed="false">
      <c r="A2925" s="24" t="n">
        <v>957300</v>
      </c>
      <c r="B2925" s="32" t="s">
        <v>3087</v>
      </c>
    </row>
    <row r="2926" customFormat="false" ht="14.25" hidden="false" customHeight="false" outlineLevel="0" collapsed="false">
      <c r="A2926" s="24" t="n">
        <v>957400</v>
      </c>
      <c r="B2926" s="32" t="s">
        <v>3088</v>
      </c>
    </row>
    <row r="2927" customFormat="false" ht="14.25" hidden="false" customHeight="false" outlineLevel="0" collapsed="false">
      <c r="A2927" s="24" t="n">
        <v>957500</v>
      </c>
      <c r="B2927" s="32" t="s">
        <v>3089</v>
      </c>
    </row>
    <row r="2928" customFormat="false" ht="14.25" hidden="false" customHeight="false" outlineLevel="0" collapsed="false">
      <c r="A2928" s="24" t="n">
        <v>957600</v>
      </c>
      <c r="B2928" s="32" t="s">
        <v>3090</v>
      </c>
    </row>
    <row r="2929" customFormat="false" ht="16.4" hidden="false" customHeight="false" outlineLevel="0" collapsed="false">
      <c r="A2929" s="24" t="n">
        <v>957900</v>
      </c>
      <c r="B2929" s="32" t="s">
        <v>3091</v>
      </c>
    </row>
    <row r="2930" customFormat="false" ht="14.25" hidden="false" customHeight="false" outlineLevel="0" collapsed="false">
      <c r="A2930" s="24" t="n">
        <v>959150</v>
      </c>
      <c r="B2930" s="32" t="s">
        <v>3092</v>
      </c>
    </row>
    <row r="2931" customFormat="false" ht="14.25" hidden="false" customHeight="false" outlineLevel="0" collapsed="false">
      <c r="A2931" s="24" t="n">
        <v>959200</v>
      </c>
      <c r="B2931" s="32" t="s">
        <v>3093</v>
      </c>
    </row>
    <row r="2932" customFormat="false" ht="16.4" hidden="false" customHeight="false" outlineLevel="0" collapsed="false">
      <c r="A2932" s="24" t="n">
        <v>959250</v>
      </c>
      <c r="B2932" s="32" t="s">
        <v>3094</v>
      </c>
    </row>
    <row r="2933" customFormat="false" ht="14.25" hidden="false" customHeight="false" outlineLevel="0" collapsed="false">
      <c r="A2933" s="24" t="n">
        <v>959300</v>
      </c>
      <c r="B2933" s="32" t="s">
        <v>3095</v>
      </c>
    </row>
    <row r="2934" customFormat="false" ht="14.25" hidden="false" customHeight="false" outlineLevel="0" collapsed="false">
      <c r="A2934" s="24" t="n">
        <v>959350</v>
      </c>
      <c r="B2934" s="32" t="s">
        <v>3096</v>
      </c>
    </row>
    <row r="2935" customFormat="false" ht="14.25" hidden="false" customHeight="false" outlineLevel="0" collapsed="false">
      <c r="A2935" s="24" t="n">
        <v>959400</v>
      </c>
      <c r="B2935" s="32" t="s">
        <v>3097</v>
      </c>
    </row>
    <row r="2936" customFormat="false" ht="14.25" hidden="false" customHeight="false" outlineLevel="0" collapsed="false">
      <c r="A2936" s="24" t="n">
        <v>959450</v>
      </c>
      <c r="B2936" s="32" t="s">
        <v>3098</v>
      </c>
    </row>
    <row r="2937" customFormat="false" ht="14.25" hidden="false" customHeight="false" outlineLevel="0" collapsed="false">
      <c r="A2937" s="24" t="n">
        <v>959500</v>
      </c>
      <c r="B2937" s="32" t="s">
        <v>3099</v>
      </c>
    </row>
    <row r="2938" customFormat="false" ht="14.25" hidden="false" customHeight="false" outlineLevel="0" collapsed="false">
      <c r="A2938" s="24" t="n">
        <v>959550</v>
      </c>
      <c r="B2938" s="32" t="s">
        <v>3100</v>
      </c>
    </row>
    <row r="2939" customFormat="false" ht="14.25" hidden="false" customHeight="false" outlineLevel="0" collapsed="false">
      <c r="A2939" s="24" t="n">
        <v>959900</v>
      </c>
      <c r="B2939" s="32" t="s">
        <v>3101</v>
      </c>
    </row>
    <row r="2940" customFormat="false" ht="14.25" hidden="false" customHeight="false" outlineLevel="0" collapsed="false">
      <c r="A2940" s="24" t="n">
        <v>960000</v>
      </c>
      <c r="B2940" s="32" t="s">
        <v>3102</v>
      </c>
    </row>
    <row r="2941" customFormat="false" ht="14.25" hidden="false" customHeight="false" outlineLevel="0" collapsed="false">
      <c r="A2941" s="24" t="n">
        <v>961000</v>
      </c>
      <c r="B2941" s="32" t="s">
        <v>3103</v>
      </c>
    </row>
    <row r="2942" customFormat="false" ht="14.25" hidden="false" customHeight="false" outlineLevel="0" collapsed="false">
      <c r="A2942" s="24" t="n">
        <v>961100</v>
      </c>
      <c r="B2942" s="32" t="s">
        <v>3104</v>
      </c>
    </row>
    <row r="2943" customFormat="false" ht="14.25" hidden="false" customHeight="false" outlineLevel="0" collapsed="false">
      <c r="A2943" s="24" t="n">
        <v>961200</v>
      </c>
      <c r="B2943" s="32" t="s">
        <v>3105</v>
      </c>
    </row>
    <row r="2944" customFormat="false" ht="14.25" hidden="false" customHeight="false" outlineLevel="0" collapsed="false">
      <c r="A2944" s="24" t="n">
        <v>961300</v>
      </c>
      <c r="B2944" s="32" t="s">
        <v>3106</v>
      </c>
    </row>
    <row r="2945" customFormat="false" ht="14.25" hidden="false" customHeight="false" outlineLevel="0" collapsed="false">
      <c r="A2945" s="24" t="n">
        <v>961400</v>
      </c>
      <c r="B2945" s="32" t="s">
        <v>3107</v>
      </c>
    </row>
    <row r="2946" customFormat="false" ht="14.25" hidden="false" customHeight="false" outlineLevel="0" collapsed="false">
      <c r="A2946" s="24" t="n">
        <v>961500</v>
      </c>
      <c r="B2946" s="32" t="s">
        <v>3108</v>
      </c>
    </row>
    <row r="2947" customFormat="false" ht="16.4" hidden="false" customHeight="false" outlineLevel="0" collapsed="false">
      <c r="A2947" s="24" t="n">
        <v>961600</v>
      </c>
      <c r="B2947" s="32" t="s">
        <v>3109</v>
      </c>
    </row>
    <row r="2948" customFormat="false" ht="14.25" hidden="false" customHeight="false" outlineLevel="0" collapsed="false">
      <c r="A2948" s="24" t="n">
        <v>961700</v>
      </c>
      <c r="B2948" s="32" t="s">
        <v>3110</v>
      </c>
    </row>
    <row r="2949" customFormat="false" ht="14.25" hidden="false" customHeight="false" outlineLevel="0" collapsed="false">
      <c r="A2949" s="24" t="n">
        <v>961800</v>
      </c>
      <c r="B2949" s="32" t="s">
        <v>3111</v>
      </c>
    </row>
    <row r="2950" customFormat="false" ht="14.25" hidden="false" customHeight="false" outlineLevel="0" collapsed="false">
      <c r="A2950" s="24" t="n">
        <v>961900</v>
      </c>
      <c r="B2950" s="32" t="s">
        <v>3112</v>
      </c>
    </row>
    <row r="2951" customFormat="false" ht="16.4" hidden="false" customHeight="false" outlineLevel="0" collapsed="false">
      <c r="A2951" s="24" t="n">
        <v>969100</v>
      </c>
      <c r="B2951" s="32" t="s">
        <v>3113</v>
      </c>
    </row>
    <row r="2952" customFormat="false" ht="16.4" hidden="false" customHeight="false" outlineLevel="0" collapsed="false">
      <c r="A2952" s="24" t="n">
        <v>969200</v>
      </c>
      <c r="B2952" s="32" t="s">
        <v>3114</v>
      </c>
    </row>
    <row r="2953" customFormat="false" ht="14.25" hidden="false" customHeight="false" outlineLevel="0" collapsed="false">
      <c r="A2953" s="24" t="n">
        <v>969300</v>
      </c>
      <c r="B2953" s="32" t="s">
        <v>3115</v>
      </c>
    </row>
    <row r="2954" customFormat="false" ht="14.25" hidden="false" customHeight="false" outlineLevel="0" collapsed="false">
      <c r="A2954" s="24" t="n">
        <v>969400</v>
      </c>
      <c r="B2954" s="32" t="s">
        <v>3116</v>
      </c>
    </row>
    <row r="2955" customFormat="false" ht="14.25" hidden="false" customHeight="false" outlineLevel="0" collapsed="false">
      <c r="A2955" s="24" t="n">
        <v>969500</v>
      </c>
      <c r="B2955" s="32" t="s">
        <v>3117</v>
      </c>
    </row>
    <row r="2956" customFormat="false" ht="14.25" hidden="false" customHeight="false" outlineLevel="0" collapsed="false">
      <c r="A2956" s="24" t="n">
        <v>969600</v>
      </c>
      <c r="B2956" s="32" t="s">
        <v>3118</v>
      </c>
    </row>
    <row r="2957" customFormat="false" ht="14.25" hidden="false" customHeight="false" outlineLevel="0" collapsed="false">
      <c r="A2957" s="24" t="n">
        <v>969900</v>
      </c>
      <c r="B2957" s="32" t="s">
        <v>3119</v>
      </c>
    </row>
    <row r="2958" customFormat="false" ht="16.4" hidden="false" customHeight="false" outlineLevel="0" collapsed="false">
      <c r="A2958" s="24" t="n">
        <v>971200</v>
      </c>
      <c r="B2958" s="32" t="s">
        <v>3120</v>
      </c>
    </row>
    <row r="2959" customFormat="false" ht="14.25" hidden="false" customHeight="false" outlineLevel="0" collapsed="false">
      <c r="A2959" s="24" t="n">
        <v>971300</v>
      </c>
      <c r="B2959" s="32" t="s">
        <v>3121</v>
      </c>
    </row>
    <row r="2960" customFormat="false" ht="14.25" hidden="false" customHeight="false" outlineLevel="0" collapsed="false">
      <c r="A2960" s="24" t="n">
        <v>971400</v>
      </c>
      <c r="B2960" s="32" t="s">
        <v>3122</v>
      </c>
    </row>
    <row r="2961" customFormat="false" ht="14.25" hidden="false" customHeight="false" outlineLevel="0" collapsed="false">
      <c r="A2961" s="24" t="n">
        <v>971410</v>
      </c>
      <c r="B2961" s="32" t="s">
        <v>3123</v>
      </c>
    </row>
    <row r="2962" customFormat="false" ht="14.25" hidden="false" customHeight="false" outlineLevel="0" collapsed="false">
      <c r="A2962" s="24" t="n">
        <v>971420</v>
      </c>
      <c r="B2962" s="32" t="s">
        <v>3124</v>
      </c>
    </row>
    <row r="2963" customFormat="false" ht="14.25" hidden="false" customHeight="false" outlineLevel="0" collapsed="false">
      <c r="A2963" s="24" t="n">
        <v>971500</v>
      </c>
      <c r="B2963" s="32" t="s">
        <v>3125</v>
      </c>
    </row>
    <row r="2964" customFormat="false" ht="16.4" hidden="false" customHeight="false" outlineLevel="0" collapsed="false">
      <c r="A2964" s="24" t="n">
        <v>971600</v>
      </c>
      <c r="B2964" s="33" t="s">
        <v>3126</v>
      </c>
    </row>
    <row r="2965" customFormat="false" ht="14.25" hidden="false" customHeight="false" outlineLevel="0" collapsed="false">
      <c r="A2965" s="24" t="n">
        <v>971610</v>
      </c>
      <c r="B2965" s="32" t="s">
        <v>3127</v>
      </c>
    </row>
    <row r="2966" customFormat="false" ht="16.4" hidden="false" customHeight="false" outlineLevel="0" collapsed="false">
      <c r="A2966" s="24" t="n">
        <v>971700</v>
      </c>
      <c r="B2966" s="33" t="s">
        <v>3128</v>
      </c>
    </row>
    <row r="2967" customFormat="false" ht="14.25" hidden="false" customHeight="false" outlineLevel="0" collapsed="false">
      <c r="A2967" s="24" t="n">
        <v>971900</v>
      </c>
      <c r="B2967" s="32" t="s">
        <v>3129</v>
      </c>
    </row>
    <row r="2968" customFormat="false" ht="14.25" hidden="false" customHeight="false" outlineLevel="0" collapsed="false">
      <c r="A2968" s="24" t="n">
        <v>972100</v>
      </c>
      <c r="B2968" s="32" t="s">
        <v>3130</v>
      </c>
    </row>
    <row r="2969" customFormat="false" ht="14.25" hidden="false" customHeight="false" outlineLevel="0" collapsed="false">
      <c r="A2969" s="24" t="n">
        <v>972200</v>
      </c>
      <c r="B2969" s="32" t="s">
        <v>3131</v>
      </c>
    </row>
    <row r="2970" customFormat="false" ht="14.25" hidden="false" customHeight="false" outlineLevel="0" collapsed="false">
      <c r="A2970" s="24" t="n">
        <v>972400</v>
      </c>
      <c r="B2970" s="32" t="s">
        <v>3132</v>
      </c>
    </row>
    <row r="2971" customFormat="false" ht="14.25" hidden="false" customHeight="false" outlineLevel="0" collapsed="false">
      <c r="A2971" s="24" t="n">
        <v>972500</v>
      </c>
      <c r="B2971" s="32" t="s">
        <v>3133</v>
      </c>
    </row>
    <row r="2972" customFormat="false" ht="16.4" hidden="false" customHeight="false" outlineLevel="0" collapsed="false">
      <c r="A2972" s="24" t="n">
        <v>972900</v>
      </c>
      <c r="B2972" s="32" t="s">
        <v>3134</v>
      </c>
    </row>
    <row r="2973" customFormat="false" ht="14.25" hidden="false" customHeight="false" outlineLevel="0" collapsed="false">
      <c r="A2973" s="24" t="n">
        <v>973200</v>
      </c>
      <c r="B2973" s="32" t="s">
        <v>3135</v>
      </c>
    </row>
    <row r="2974" customFormat="false" ht="16.4" hidden="false" customHeight="false" outlineLevel="0" collapsed="false">
      <c r="A2974" s="24" t="n">
        <v>973300</v>
      </c>
      <c r="B2974" s="32" t="s">
        <v>3136</v>
      </c>
    </row>
    <row r="2975" customFormat="false" ht="14.25" hidden="false" customHeight="false" outlineLevel="0" collapsed="false">
      <c r="A2975" s="24" t="n">
        <v>973400</v>
      </c>
      <c r="B2975" s="32" t="s">
        <v>3137</v>
      </c>
    </row>
    <row r="2976" customFormat="false" ht="14.25" hidden="false" customHeight="false" outlineLevel="0" collapsed="false">
      <c r="A2976" s="24" t="n">
        <v>973500</v>
      </c>
      <c r="B2976" s="32" t="s">
        <v>3138</v>
      </c>
    </row>
    <row r="2977" customFormat="false" ht="14.25" hidden="false" customHeight="false" outlineLevel="0" collapsed="false">
      <c r="A2977" s="24" t="n">
        <v>973600</v>
      </c>
      <c r="B2977" s="32" t="s">
        <v>3139</v>
      </c>
    </row>
    <row r="2978" customFormat="false" ht="14.25" hidden="false" customHeight="false" outlineLevel="0" collapsed="false">
      <c r="A2978" s="24" t="n">
        <v>973700</v>
      </c>
      <c r="B2978" s="32" t="s">
        <v>3140</v>
      </c>
    </row>
    <row r="2979" customFormat="false" ht="14.25" hidden="false" customHeight="false" outlineLevel="0" collapsed="false">
      <c r="A2979" s="24" t="n">
        <v>973900</v>
      </c>
      <c r="B2979" s="32" t="s">
        <v>3141</v>
      </c>
    </row>
    <row r="2980" customFormat="false" ht="14.25" hidden="false" customHeight="false" outlineLevel="0" collapsed="false">
      <c r="A2980" s="24" t="n">
        <v>974150</v>
      </c>
      <c r="B2980" s="32" t="s">
        <v>3142</v>
      </c>
    </row>
    <row r="2981" customFormat="false" ht="14.25" hidden="false" customHeight="false" outlineLevel="0" collapsed="false">
      <c r="A2981" s="24" t="n">
        <v>974200</v>
      </c>
      <c r="B2981" s="32" t="s">
        <v>3143</v>
      </c>
    </row>
    <row r="2982" customFormat="false" ht="14.25" hidden="false" customHeight="false" outlineLevel="0" collapsed="false">
      <c r="A2982" s="24" t="n">
        <v>974250</v>
      </c>
      <c r="B2982" s="32" t="s">
        <v>3144</v>
      </c>
    </row>
    <row r="2983" customFormat="false" ht="14.25" hidden="false" customHeight="false" outlineLevel="0" collapsed="false">
      <c r="A2983" s="24" t="n">
        <v>974300</v>
      </c>
      <c r="B2983" s="32" t="s">
        <v>3145</v>
      </c>
    </row>
    <row r="2984" customFormat="false" ht="14.25" hidden="false" customHeight="false" outlineLevel="0" collapsed="false">
      <c r="A2984" s="24" t="n">
        <v>974350</v>
      </c>
      <c r="B2984" s="32" t="s">
        <v>3146</v>
      </c>
    </row>
    <row r="2985" customFormat="false" ht="14.25" hidden="false" customHeight="false" outlineLevel="0" collapsed="false">
      <c r="A2985" s="24" t="n">
        <v>974400</v>
      </c>
      <c r="B2985" s="32" t="s">
        <v>3147</v>
      </c>
    </row>
    <row r="2986" customFormat="false" ht="14.25" hidden="false" customHeight="false" outlineLevel="0" collapsed="false">
      <c r="A2986" s="24" t="n">
        <v>974450</v>
      </c>
      <c r="B2986" s="32" t="s">
        <v>3148</v>
      </c>
    </row>
    <row r="2987" customFormat="false" ht="14.25" hidden="false" customHeight="false" outlineLevel="0" collapsed="false">
      <c r="A2987" s="24" t="n">
        <v>974500</v>
      </c>
      <c r="B2987" s="32" t="s">
        <v>3149</v>
      </c>
    </row>
    <row r="2988" customFormat="false" ht="14.25" hidden="false" customHeight="false" outlineLevel="0" collapsed="false">
      <c r="A2988" s="24" t="n">
        <v>974550</v>
      </c>
      <c r="B2988" s="32" t="s">
        <v>3150</v>
      </c>
    </row>
    <row r="2989" customFormat="false" ht="14.25" hidden="false" customHeight="false" outlineLevel="0" collapsed="false">
      <c r="A2989" s="24" t="n">
        <v>974600</v>
      </c>
      <c r="B2989" s="32" t="s">
        <v>3151</v>
      </c>
    </row>
    <row r="2990" customFormat="false" ht="14.25" hidden="false" customHeight="false" outlineLevel="0" collapsed="false">
      <c r="A2990" s="24" t="n">
        <v>974650</v>
      </c>
      <c r="B2990" s="32" t="s">
        <v>3152</v>
      </c>
    </row>
    <row r="2991" customFormat="false" ht="14.25" hidden="false" customHeight="false" outlineLevel="0" collapsed="false">
      <c r="A2991" s="24" t="n">
        <v>974700</v>
      </c>
      <c r="B2991" s="32" t="s">
        <v>3153</v>
      </c>
    </row>
    <row r="2992" customFormat="false" ht="14.25" hidden="false" customHeight="false" outlineLevel="0" collapsed="false">
      <c r="A2992" s="24" t="n">
        <v>974750</v>
      </c>
      <c r="B2992" s="32" t="s">
        <v>3154</v>
      </c>
    </row>
    <row r="2993" customFormat="false" ht="14.25" hidden="false" customHeight="false" outlineLevel="0" collapsed="false">
      <c r="A2993" s="24" t="n">
        <v>974900</v>
      </c>
      <c r="B2993" s="32" t="s">
        <v>3155</v>
      </c>
    </row>
    <row r="2994" customFormat="false" ht="14.25" hidden="false" customHeight="false" outlineLevel="0" collapsed="false">
      <c r="A2994" s="24" t="n">
        <v>979200</v>
      </c>
      <c r="B2994" s="32" t="s">
        <v>3156</v>
      </c>
    </row>
    <row r="2995" customFormat="false" ht="14.25" hidden="false" customHeight="false" outlineLevel="0" collapsed="false">
      <c r="A2995" s="24" t="n">
        <v>979900</v>
      </c>
      <c r="B2995" s="32" t="s">
        <v>3157</v>
      </c>
    </row>
    <row r="2996" customFormat="false" ht="14.25" hidden="false" customHeight="false" outlineLevel="0" collapsed="false">
      <c r="A2996" s="24" t="n">
        <v>981200</v>
      </c>
      <c r="B2996" s="32" t="s">
        <v>3158</v>
      </c>
    </row>
    <row r="2997" customFormat="false" ht="16.4" hidden="false" customHeight="false" outlineLevel="0" collapsed="false">
      <c r="A2997" s="24" t="n">
        <v>981300</v>
      </c>
      <c r="B2997" s="32" t="s">
        <v>3159</v>
      </c>
    </row>
    <row r="2998" customFormat="false" ht="14.25" hidden="false" customHeight="false" outlineLevel="0" collapsed="false">
      <c r="A2998" s="24" t="n">
        <v>981400</v>
      </c>
      <c r="B2998" s="32" t="s">
        <v>3160</v>
      </c>
    </row>
    <row r="2999" customFormat="false" ht="14.25" hidden="false" customHeight="false" outlineLevel="0" collapsed="false">
      <c r="A2999" s="24" t="n">
        <v>981500</v>
      </c>
      <c r="B2999" s="32" t="s">
        <v>3161</v>
      </c>
    </row>
    <row r="3000" customFormat="false" ht="14.25" hidden="false" customHeight="false" outlineLevel="0" collapsed="false">
      <c r="A3000" s="24" t="n">
        <v>981600</v>
      </c>
      <c r="B3000" s="32" t="s">
        <v>3162</v>
      </c>
    </row>
    <row r="3001" customFormat="false" ht="14.25" hidden="false" customHeight="false" outlineLevel="0" collapsed="false">
      <c r="A3001" s="24" t="n">
        <v>981700</v>
      </c>
      <c r="B3001" s="32" t="s">
        <v>3163</v>
      </c>
    </row>
    <row r="3002" customFormat="false" ht="14.25" hidden="false" customHeight="false" outlineLevel="0" collapsed="false">
      <c r="A3002" s="24" t="n">
        <v>981710</v>
      </c>
      <c r="B3002" s="32" t="s">
        <v>3164</v>
      </c>
    </row>
    <row r="3003" customFormat="false" ht="14.25" hidden="false" customHeight="false" outlineLevel="0" collapsed="false">
      <c r="A3003" s="24" t="n">
        <v>981800</v>
      </c>
      <c r="B3003" s="32" t="s">
        <v>3165</v>
      </c>
    </row>
    <row r="3004" customFormat="false" ht="14.25" hidden="false" customHeight="false" outlineLevel="0" collapsed="false">
      <c r="A3004" s="24" t="n">
        <v>981810</v>
      </c>
      <c r="B3004" s="32" t="s">
        <v>3166</v>
      </c>
    </row>
    <row r="3005" customFormat="false" ht="14.25" hidden="false" customHeight="false" outlineLevel="0" collapsed="false">
      <c r="A3005" s="24" t="n">
        <v>981900</v>
      </c>
      <c r="B3005" s="32" t="s">
        <v>3167</v>
      </c>
    </row>
    <row r="3006" customFormat="false" ht="14.25" hidden="false" customHeight="false" outlineLevel="0" collapsed="false">
      <c r="A3006" s="24" t="n">
        <v>982200</v>
      </c>
      <c r="B3006" s="32" t="s">
        <v>3168</v>
      </c>
    </row>
    <row r="3007" customFormat="false" ht="14.25" hidden="false" customHeight="false" outlineLevel="0" collapsed="false">
      <c r="A3007" s="24" t="n">
        <v>982300</v>
      </c>
      <c r="B3007" s="32" t="s">
        <v>3169</v>
      </c>
    </row>
    <row r="3008" customFormat="false" ht="14.25" hidden="false" customHeight="false" outlineLevel="0" collapsed="false">
      <c r="A3008" s="24" t="n">
        <v>982400</v>
      </c>
      <c r="B3008" s="32" t="s">
        <v>3170</v>
      </c>
    </row>
    <row r="3009" customFormat="false" ht="14.25" hidden="false" customHeight="false" outlineLevel="0" collapsed="false">
      <c r="A3009" s="24" t="n">
        <v>982500</v>
      </c>
      <c r="B3009" s="32" t="s">
        <v>3171</v>
      </c>
    </row>
    <row r="3010" customFormat="false" ht="16.4" hidden="false" customHeight="false" outlineLevel="0" collapsed="false">
      <c r="A3010" s="24" t="n">
        <v>982900</v>
      </c>
      <c r="B3010" s="32" t="s">
        <v>3172</v>
      </c>
    </row>
    <row r="3011" customFormat="false" ht="14.25" hidden="false" customHeight="false" outlineLevel="0" collapsed="false">
      <c r="A3011" s="24" t="n">
        <v>983200</v>
      </c>
      <c r="B3011" s="32" t="s">
        <v>3173</v>
      </c>
    </row>
    <row r="3012" customFormat="false" ht="14.25" hidden="false" customHeight="false" outlineLevel="0" collapsed="false">
      <c r="A3012" s="24" t="n">
        <v>983300</v>
      </c>
      <c r="B3012" s="32" t="s">
        <v>3174</v>
      </c>
    </row>
    <row r="3013" customFormat="false" ht="14.25" hidden="false" customHeight="false" outlineLevel="0" collapsed="false">
      <c r="A3013" s="24" t="n">
        <v>983400</v>
      </c>
      <c r="B3013" s="32" t="s">
        <v>3175</v>
      </c>
    </row>
    <row r="3014" customFormat="false" ht="14.25" hidden="false" customHeight="false" outlineLevel="0" collapsed="false">
      <c r="A3014" s="24" t="n">
        <v>983500</v>
      </c>
      <c r="B3014" s="32" t="s">
        <v>3176</v>
      </c>
    </row>
    <row r="3015" customFormat="false" ht="14.25" hidden="false" customHeight="false" outlineLevel="0" collapsed="false">
      <c r="A3015" s="24" t="n">
        <v>983900</v>
      </c>
      <c r="B3015" s="32" t="s">
        <v>3177</v>
      </c>
    </row>
    <row r="3016" customFormat="false" ht="16.4" hidden="false" customHeight="false" outlineLevel="0" collapsed="false">
      <c r="A3016" s="24" t="n">
        <v>984200</v>
      </c>
      <c r="B3016" s="32" t="s">
        <v>3178</v>
      </c>
    </row>
    <row r="3017" customFormat="false" ht="16.4" hidden="false" customHeight="false" outlineLevel="0" collapsed="false">
      <c r="A3017" s="24" t="n">
        <v>984300</v>
      </c>
      <c r="B3017" s="32" t="s">
        <v>3179</v>
      </c>
    </row>
    <row r="3018" customFormat="false" ht="16.4" hidden="false" customHeight="false" outlineLevel="0" collapsed="false">
      <c r="A3018" s="24" t="n">
        <v>984400</v>
      </c>
      <c r="B3018" s="32" t="s">
        <v>3180</v>
      </c>
    </row>
    <row r="3019" customFormat="false" ht="14.25" hidden="false" customHeight="false" outlineLevel="0" collapsed="false">
      <c r="A3019" s="24" t="n">
        <v>985000</v>
      </c>
      <c r="B3019" s="32" t="s">
        <v>3181</v>
      </c>
    </row>
    <row r="3020" customFormat="false" ht="14.25" hidden="false" customHeight="false" outlineLevel="0" collapsed="false">
      <c r="A3020" s="24" t="n">
        <v>985100</v>
      </c>
      <c r="B3020" s="32" t="s">
        <v>3182</v>
      </c>
    </row>
    <row r="3021" customFormat="false" ht="14.25" hidden="false" customHeight="false" outlineLevel="0" collapsed="false">
      <c r="A3021" s="24" t="n">
        <v>985110</v>
      </c>
      <c r="B3021" s="32" t="s">
        <v>3183</v>
      </c>
    </row>
    <row r="3022" customFormat="false" ht="14.25" hidden="false" customHeight="false" outlineLevel="0" collapsed="false">
      <c r="A3022" s="24" t="n">
        <v>985120</v>
      </c>
      <c r="B3022" s="32" t="s">
        <v>3184</v>
      </c>
    </row>
    <row r="3023" customFormat="false" ht="14.25" hidden="false" customHeight="false" outlineLevel="0" collapsed="false">
      <c r="A3023" s="24" t="n">
        <v>985130</v>
      </c>
      <c r="B3023" s="32" t="s">
        <v>3185</v>
      </c>
    </row>
    <row r="3024" customFormat="false" ht="14.25" hidden="false" customHeight="false" outlineLevel="0" collapsed="false">
      <c r="A3024" s="24" t="n">
        <v>985200</v>
      </c>
      <c r="B3024" s="32" t="s">
        <v>3186</v>
      </c>
    </row>
    <row r="3025" customFormat="false" ht="16.4" hidden="false" customHeight="false" outlineLevel="0" collapsed="false">
      <c r="A3025" s="24" t="n">
        <v>985300</v>
      </c>
      <c r="B3025" s="32" t="s">
        <v>3187</v>
      </c>
    </row>
    <row r="3026" customFormat="false" ht="14.25" hidden="false" customHeight="false" outlineLevel="0" collapsed="false">
      <c r="A3026" s="24" t="n">
        <v>985400</v>
      </c>
      <c r="B3026" s="32" t="s">
        <v>3188</v>
      </c>
    </row>
    <row r="3027" customFormat="false" ht="14.25" hidden="false" customHeight="false" outlineLevel="0" collapsed="false">
      <c r="A3027" s="24" t="n">
        <v>985500</v>
      </c>
      <c r="B3027" s="32" t="s">
        <v>3189</v>
      </c>
    </row>
    <row r="3028" customFormat="false" ht="14.25" hidden="false" customHeight="false" outlineLevel="0" collapsed="false">
      <c r="A3028" s="24" t="n">
        <v>985600</v>
      </c>
      <c r="B3028" s="32" t="s">
        <v>3190</v>
      </c>
    </row>
    <row r="3029" customFormat="false" ht="14.25" hidden="false" customHeight="false" outlineLevel="0" collapsed="false">
      <c r="A3029" s="24" t="n">
        <v>985700</v>
      </c>
      <c r="B3029" s="32" t="s">
        <v>3191</v>
      </c>
    </row>
    <row r="3030" customFormat="false" ht="14.25" hidden="false" customHeight="false" outlineLevel="0" collapsed="false">
      <c r="A3030" s="24" t="n">
        <v>985800</v>
      </c>
      <c r="B3030" s="32" t="s">
        <v>3192</v>
      </c>
    </row>
    <row r="3031" customFormat="false" ht="14.25" hidden="false" customHeight="false" outlineLevel="0" collapsed="false">
      <c r="A3031" s="24" t="n">
        <v>985810</v>
      </c>
      <c r="B3031" s="32" t="s">
        <v>3193</v>
      </c>
    </row>
    <row r="3032" customFormat="false" ht="14.25" hidden="false" customHeight="false" outlineLevel="0" collapsed="false">
      <c r="A3032" s="24" t="n">
        <v>985820</v>
      </c>
      <c r="B3032" s="32" t="s">
        <v>3194</v>
      </c>
    </row>
    <row r="3033" customFormat="false" ht="14.25" hidden="false" customHeight="false" outlineLevel="0" collapsed="false">
      <c r="A3033" s="24" t="n">
        <v>985830</v>
      </c>
      <c r="B3033" s="32" t="s">
        <v>3195</v>
      </c>
    </row>
    <row r="3034" customFormat="false" ht="16.4" hidden="false" customHeight="false" outlineLevel="0" collapsed="false">
      <c r="A3034" s="24" t="n">
        <v>985900</v>
      </c>
      <c r="B3034" s="32" t="s">
        <v>3196</v>
      </c>
    </row>
    <row r="3035" customFormat="false" ht="16.4" hidden="false" customHeight="false" outlineLevel="0" collapsed="false">
      <c r="A3035" s="24" t="n">
        <v>986200</v>
      </c>
      <c r="B3035" s="32" t="s">
        <v>3197</v>
      </c>
    </row>
    <row r="3036" customFormat="false" ht="16.4" hidden="false" customHeight="false" outlineLevel="0" collapsed="false">
      <c r="A3036" s="24" t="n">
        <v>986300</v>
      </c>
      <c r="B3036" s="32" t="s">
        <v>3198</v>
      </c>
    </row>
    <row r="3037" customFormat="false" ht="14.25" hidden="false" customHeight="false" outlineLevel="0" collapsed="false">
      <c r="A3037" s="24" t="n">
        <v>986400</v>
      </c>
      <c r="B3037" s="32" t="s">
        <v>3199</v>
      </c>
    </row>
    <row r="3038" customFormat="false" ht="14.25" hidden="false" customHeight="false" outlineLevel="0" collapsed="false">
      <c r="A3038" s="24" t="n">
        <v>986500</v>
      </c>
      <c r="B3038" s="32" t="s">
        <v>3200</v>
      </c>
    </row>
    <row r="3039" customFormat="false" ht="14.25" hidden="false" customHeight="false" outlineLevel="0" collapsed="false">
      <c r="A3039" s="24" t="n">
        <v>986600</v>
      </c>
      <c r="B3039" s="32" t="s">
        <v>3201</v>
      </c>
    </row>
    <row r="3040" customFormat="false" ht="14.25" hidden="false" customHeight="false" outlineLevel="0" collapsed="false">
      <c r="A3040" s="24" t="n">
        <v>986900</v>
      </c>
      <c r="B3040" s="32" t="s">
        <v>3202</v>
      </c>
    </row>
    <row r="3041" customFormat="false" ht="16.4" hidden="false" customHeight="false" outlineLevel="0" collapsed="false">
      <c r="A3041" s="24" t="n">
        <v>989200</v>
      </c>
      <c r="B3041" s="32" t="s">
        <v>3203</v>
      </c>
    </row>
    <row r="3042" customFormat="false" ht="16.4" hidden="false" customHeight="false" outlineLevel="0" collapsed="false">
      <c r="A3042" s="24" t="n">
        <v>989300</v>
      </c>
      <c r="B3042" s="32" t="s">
        <v>3204</v>
      </c>
    </row>
    <row r="3043" customFormat="false" ht="14.25" hidden="false" customHeight="false" outlineLevel="0" collapsed="false">
      <c r="A3043" s="24" t="n">
        <v>989400</v>
      </c>
      <c r="B3043" s="32" t="s">
        <v>3205</v>
      </c>
    </row>
    <row r="3044" customFormat="false" ht="14.25" hidden="false" customHeight="false" outlineLevel="0" collapsed="false">
      <c r="A3044" s="24" t="n">
        <v>989500</v>
      </c>
      <c r="B3044" s="32" t="s">
        <v>3206</v>
      </c>
    </row>
    <row r="3045" customFormat="false" ht="16.4" hidden="false" customHeight="false" outlineLevel="0" collapsed="false">
      <c r="A3045" s="24" t="n">
        <v>989600</v>
      </c>
      <c r="B3045" s="32" t="s">
        <v>3207</v>
      </c>
    </row>
    <row r="3046" customFormat="false" ht="14.25" hidden="false" customHeight="false" outlineLevel="0" collapsed="false">
      <c r="A3046" s="24" t="n">
        <v>989700</v>
      </c>
      <c r="B3046" s="32" t="s">
        <v>3208</v>
      </c>
    </row>
    <row r="3047" customFormat="false" ht="16.4" hidden="false" customHeight="false" outlineLevel="0" collapsed="false">
      <c r="A3047" s="24" t="n">
        <v>989800</v>
      </c>
      <c r="B3047" s="32" t="s">
        <v>3209</v>
      </c>
    </row>
    <row r="3048" customFormat="false" ht="14.25" hidden="false" customHeight="false" outlineLevel="0" collapsed="false">
      <c r="A3048" s="24" t="n">
        <v>989900</v>
      </c>
      <c r="B3048" s="32" t="s">
        <v>3210</v>
      </c>
    </row>
    <row r="3049" customFormat="false" ht="14.25" hidden="false" customHeight="false" outlineLevel="0" collapsed="false">
      <c r="A3049" s="24" t="n">
        <v>999200</v>
      </c>
      <c r="B3049" s="32" t="s">
        <v>3211</v>
      </c>
    </row>
    <row r="3050" customFormat="false" ht="16.4" hidden="false" customHeight="false" outlineLevel="0" collapsed="false">
      <c r="A3050" s="24" t="n">
        <v>999300</v>
      </c>
      <c r="B3050" s="32" t="s">
        <v>3212</v>
      </c>
    </row>
    <row r="3051" customFormat="false" ht="14.25" hidden="false" customHeight="false" outlineLevel="0" collapsed="false">
      <c r="A3051" s="24" t="n">
        <v>999400</v>
      </c>
      <c r="B3051" s="32" t="s">
        <v>3213</v>
      </c>
    </row>
    <row r="3052" customFormat="false" ht="14.25" hidden="false" customHeight="false" outlineLevel="0" collapsed="false">
      <c r="A3052" s="24" t="n">
        <v>999500</v>
      </c>
      <c r="B3052" s="32" t="s">
        <v>3214</v>
      </c>
    </row>
    <row r="3053" customFormat="false" ht="14.25" hidden="false" customHeight="false" outlineLevel="0" collapsed="false">
      <c r="A3053" s="24" t="n">
        <v>999999</v>
      </c>
      <c r="B3053" s="32" t="s">
        <v>3215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2025-12-30T23:19:49Z</dcterms:created>
  <dc:creator>openpyxl</dc:creator>
  <dc:description/>
  <dc:language>en-US</dc:language>
  <cp:lastModifiedBy>Ahmed Moustafa</cp:lastModifiedBy>
  <dcterms:modified xsi:type="dcterms:W3CDTF">2025-12-31T01:55:08Z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